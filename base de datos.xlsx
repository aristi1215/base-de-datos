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umno\Desktop\base-de-datos\"/>
    </mc:Choice>
  </mc:AlternateContent>
  <bookViews>
    <workbookView xWindow="0" yWindow="0" windowWidth="20490" windowHeight="7620" activeTab="2"/>
  </bookViews>
  <sheets>
    <sheet name="estudiantes" sheetId="1" r:id="rId1"/>
    <sheet name="profesores" sheetId="2" r:id="rId2"/>
    <sheet name="administrativo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3" l="1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13" i="3"/>
  <c r="J13" i="3" s="1"/>
  <c r="I14" i="3"/>
  <c r="J14" i="3" s="1"/>
  <c r="I15" i="3"/>
  <c r="J15" i="3" s="1"/>
  <c r="I16" i="3"/>
  <c r="J16" i="3" s="1"/>
  <c r="I17" i="3"/>
  <c r="J17" i="3" s="1"/>
  <c r="I18" i="3"/>
  <c r="J18" i="3" s="1"/>
  <c r="I19" i="3"/>
  <c r="J19" i="3" s="1"/>
  <c r="I20" i="3"/>
  <c r="J20" i="3" s="1"/>
  <c r="I21" i="3"/>
  <c r="J21" i="3" s="1"/>
  <c r="I22" i="3"/>
  <c r="J22" i="3" s="1"/>
  <c r="I23" i="3"/>
  <c r="J23" i="3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3" i="1"/>
  <c r="M3" i="1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3" i="1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D3" i="1"/>
  <c r="F3" i="1" s="1"/>
  <c r="D4" i="1"/>
  <c r="F4" i="1" s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14" i="1"/>
  <c r="F14" i="1" s="1"/>
  <c r="D15" i="1"/>
  <c r="F15" i="1" s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F51" i="1" s="1"/>
  <c r="D52" i="1"/>
  <c r="F52" i="1" s="1"/>
  <c r="D53" i="1"/>
  <c r="F53" i="1" s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F68" i="1" s="1"/>
  <c r="D69" i="1"/>
  <c r="F69" i="1" s="1"/>
  <c r="D70" i="1"/>
  <c r="F70" i="1" s="1"/>
  <c r="D71" i="1"/>
  <c r="F71" i="1" s="1"/>
  <c r="D72" i="1"/>
  <c r="F72" i="1" s="1"/>
  <c r="D73" i="1"/>
  <c r="F7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</calcChain>
</file>

<file path=xl/sharedStrings.xml><?xml version="1.0" encoding="utf-8"?>
<sst xmlns="http://schemas.openxmlformats.org/spreadsheetml/2006/main" count="784" uniqueCount="236">
  <si>
    <t>edad</t>
  </si>
  <si>
    <t>sexo</t>
  </si>
  <si>
    <t>nacimiento</t>
  </si>
  <si>
    <t>acudientes</t>
  </si>
  <si>
    <t>nota matematicas</t>
  </si>
  <si>
    <t>nota sociales</t>
  </si>
  <si>
    <t>nota artistica</t>
  </si>
  <si>
    <t>barrio</t>
  </si>
  <si>
    <t>estrato</t>
  </si>
  <si>
    <t>nombre</t>
  </si>
  <si>
    <t>apellido</t>
  </si>
  <si>
    <t>ANTONIO</t>
  </si>
  <si>
    <t>MANUEL</t>
  </si>
  <si>
    <t>JOSE</t>
  </si>
  <si>
    <t>FRANCISCO</t>
  </si>
  <si>
    <t>DAVID</t>
  </si>
  <si>
    <t>JUAN</t>
  </si>
  <si>
    <t>JAVIER</t>
  </si>
  <si>
    <t>DANIEL</t>
  </si>
  <si>
    <t>JOSE LUIS</t>
  </si>
  <si>
    <t>CARLOS</t>
  </si>
  <si>
    <t>JESUS</t>
  </si>
  <si>
    <t>ALEJANDRO</t>
  </si>
  <si>
    <t>MIGUEL</t>
  </si>
  <si>
    <t>RAFAEL</t>
  </si>
  <si>
    <t>PABLO</t>
  </si>
  <si>
    <t>PEDRO</t>
  </si>
  <si>
    <t>ANGEL</t>
  </si>
  <si>
    <t>SERGIO</t>
  </si>
  <si>
    <t>FERNANDO</t>
  </si>
  <si>
    <t>JORGE</t>
  </si>
  <si>
    <t>LUIS</t>
  </si>
  <si>
    <t>ALBERTO</t>
  </si>
  <si>
    <t>ALVARO</t>
  </si>
  <si>
    <t>ADRIAN</t>
  </si>
  <si>
    <t>DIEGO</t>
  </si>
  <si>
    <t>RAUL</t>
  </si>
  <si>
    <t>IVAN</t>
  </si>
  <si>
    <t>RUBEN</t>
  </si>
  <si>
    <t>ENRIQUE</t>
  </si>
  <si>
    <t>OSCAR</t>
  </si>
  <si>
    <t>RAMON</t>
  </si>
  <si>
    <t>ANDRES</t>
  </si>
  <si>
    <t>VICENTE</t>
  </si>
  <si>
    <t>SANTIAGO</t>
  </si>
  <si>
    <t>JOAQUIN</t>
  </si>
  <si>
    <t>MARIO</t>
  </si>
  <si>
    <t>VICTOR</t>
  </si>
  <si>
    <t>EDUARDO</t>
  </si>
  <si>
    <t>ROBERTO</t>
  </si>
  <si>
    <t>JAIME</t>
  </si>
  <si>
    <t>MARCOS</t>
  </si>
  <si>
    <t>HUGO</t>
  </si>
  <si>
    <t>IGNACIO</t>
  </si>
  <si>
    <t>JORDI</t>
  </si>
  <si>
    <t>ALFONSO</t>
  </si>
  <si>
    <t>RICARDO</t>
  </si>
  <si>
    <t>SALVADOR</t>
  </si>
  <si>
    <t>GUILLERMO</t>
  </si>
  <si>
    <t>MARC</t>
  </si>
  <si>
    <t>GABRIEL</t>
  </si>
  <si>
    <t>MOHAMED</t>
  </si>
  <si>
    <t>EMILIO</t>
  </si>
  <si>
    <t>GONZALO</t>
  </si>
  <si>
    <t>MARTIN</t>
  </si>
  <si>
    <t>JOSE MIGUEL</t>
  </si>
  <si>
    <t>JULIO</t>
  </si>
  <si>
    <t>JULIAN</t>
  </si>
  <si>
    <t>TOMAS</t>
  </si>
  <si>
    <t>NICOLAS</t>
  </si>
  <si>
    <t>AGUSTIN</t>
  </si>
  <si>
    <t>JOSE RAMON</t>
  </si>
  <si>
    <t>SAMUEL</t>
  </si>
  <si>
    <t>ISMAEL</t>
  </si>
  <si>
    <t>CRISTIAN</t>
  </si>
  <si>
    <t>LUCAS</t>
  </si>
  <si>
    <t>JOAN</t>
  </si>
  <si>
    <t>FELIX</t>
  </si>
  <si>
    <t>AITOR</t>
  </si>
  <si>
    <t>HECTOR</t>
  </si>
  <si>
    <t>IKER</t>
  </si>
  <si>
    <t>ALEX</t>
  </si>
  <si>
    <t>JOSEP</t>
  </si>
  <si>
    <t>SEBASTIAN</t>
  </si>
  <si>
    <t>CESAR</t>
  </si>
  <si>
    <t>MARIANO</t>
  </si>
  <si>
    <t>ALFREDO</t>
  </si>
  <si>
    <t>DOMINGO</t>
  </si>
  <si>
    <t>MATEO</t>
  </si>
  <si>
    <t>RODRIGO</t>
  </si>
  <si>
    <t>FELIPE</t>
  </si>
  <si>
    <t>XAVIER</t>
  </si>
  <si>
    <t>ALBERT</t>
  </si>
  <si>
    <t xml:space="preserve">JUAN </t>
  </si>
  <si>
    <t xml:space="preserve">JOSE </t>
  </si>
  <si>
    <t xml:space="preserve">VICTOR </t>
  </si>
  <si>
    <t xml:space="preserve">LUIS </t>
  </si>
  <si>
    <t xml:space="preserve">FRANCISCO </t>
  </si>
  <si>
    <t xml:space="preserve">MIGUEL </t>
  </si>
  <si>
    <t>MARTINEZ</t>
  </si>
  <si>
    <t>GARCIA</t>
  </si>
  <si>
    <t>FERNANDEZ</t>
  </si>
  <si>
    <t>PEREZ</t>
  </si>
  <si>
    <t>JIMENEZ</t>
  </si>
  <si>
    <t>GONZALEZ</t>
  </si>
  <si>
    <t>RUIZ</t>
  </si>
  <si>
    <t>LOPEZ</t>
  </si>
  <si>
    <t>SAENZ</t>
  </si>
  <si>
    <t>RODRIGUEZ</t>
  </si>
  <si>
    <t>GOMEZ</t>
  </si>
  <si>
    <t>MORENO</t>
  </si>
  <si>
    <t>HERNANDEZ</t>
  </si>
  <si>
    <t>SANCHEZ</t>
  </si>
  <si>
    <t>ALONSO</t>
  </si>
  <si>
    <t>PASCUAL</t>
  </si>
  <si>
    <t>GIL</t>
  </si>
  <si>
    <t>MARIN</t>
  </si>
  <si>
    <t>DIEZ</t>
  </si>
  <si>
    <t>ALVAREZ</t>
  </si>
  <si>
    <t>GUTIERREZ</t>
  </si>
  <si>
    <t>CALVO</t>
  </si>
  <si>
    <t>EZQUERRO</t>
  </si>
  <si>
    <t>BLANCO</t>
  </si>
  <si>
    <t>RUBIO</t>
  </si>
  <si>
    <t>IBAÑEZ</t>
  </si>
  <si>
    <t>MUÑOZ</t>
  </si>
  <si>
    <t>GARRIDO</t>
  </si>
  <si>
    <t>SAEZ</t>
  </si>
  <si>
    <t>DIAZ</t>
  </si>
  <si>
    <t>RAMIREZ</t>
  </si>
  <si>
    <t>PALACIOS</t>
  </si>
  <si>
    <t>ORTEGA</t>
  </si>
  <si>
    <t>SANTAMARIA</t>
  </si>
  <si>
    <t>BENITO</t>
  </si>
  <si>
    <t>OCHOA</t>
  </si>
  <si>
    <t>ROMERO</t>
  </si>
  <si>
    <t>LEON</t>
  </si>
  <si>
    <t>DOMINGUEZ</t>
  </si>
  <si>
    <t>GABARRI</t>
  </si>
  <si>
    <t>PEÑA</t>
  </si>
  <si>
    <t>HERCE</t>
  </si>
  <si>
    <t>TORRES</t>
  </si>
  <si>
    <t>MERINO</t>
  </si>
  <si>
    <t>SAINZ</t>
  </si>
  <si>
    <t>CASTILLO</t>
  </si>
  <si>
    <t>SANZ</t>
  </si>
  <si>
    <t>ORTIZ</t>
  </si>
  <si>
    <t>CORDON</t>
  </si>
  <si>
    <t>m</t>
  </si>
  <si>
    <t>Berlín</t>
  </si>
  <si>
    <t>San Isidro</t>
  </si>
  <si>
    <t>Palermo</t>
  </si>
  <si>
    <t>Moravia</t>
  </si>
  <si>
    <t>Sevilla</t>
  </si>
  <si>
    <t>San Pedro</t>
  </si>
  <si>
    <t xml:space="preserve">Manrique Central </t>
  </si>
  <si>
    <t xml:space="preserve">Bermejal </t>
  </si>
  <si>
    <t>Campo Valdés N.º 1</t>
  </si>
  <si>
    <t>La Piñuela</t>
  </si>
  <si>
    <t>Las Brisas</t>
  </si>
  <si>
    <t>Florencia</t>
  </si>
  <si>
    <t>Tejelo</t>
  </si>
  <si>
    <t>Boyacá</t>
  </si>
  <si>
    <t>Belalcázar</t>
  </si>
  <si>
    <t>Girardot</t>
  </si>
  <si>
    <t>Tricentenario</t>
  </si>
  <si>
    <t>Francisco Antonio Zea</t>
  </si>
  <si>
    <t>Alfonso López</t>
  </si>
  <si>
    <t>Caribe</t>
  </si>
  <si>
    <t>Robledo</t>
  </si>
  <si>
    <t>El Volador</t>
  </si>
  <si>
    <t>San Germán</t>
  </si>
  <si>
    <t>La Pilarica</t>
  </si>
  <si>
    <t>Altamira</t>
  </si>
  <si>
    <t>Córdoba</t>
  </si>
  <si>
    <t>López de Mesa</t>
  </si>
  <si>
    <t>El Diamante</t>
  </si>
  <si>
    <t>Villa Hermosa</t>
  </si>
  <si>
    <t>La Mansión</t>
  </si>
  <si>
    <t>Llanaditas</t>
  </si>
  <si>
    <t>La Ladera</t>
  </si>
  <si>
    <t>Golondrinas</t>
  </si>
  <si>
    <t>Batallón Girardot</t>
  </si>
  <si>
    <t>San Miguel</t>
  </si>
  <si>
    <t>Los Mangos</t>
  </si>
  <si>
    <t>Sucre</t>
  </si>
  <si>
    <t>El Pinal</t>
  </si>
  <si>
    <t>Trece de Noviembre</t>
  </si>
  <si>
    <t>La Libertad</t>
  </si>
  <si>
    <t>Villatina</t>
  </si>
  <si>
    <t>San Antonio</t>
  </si>
  <si>
    <t>Las Estancias</t>
  </si>
  <si>
    <t>Villa Turbay</t>
  </si>
  <si>
    <t>La Sierra</t>
  </si>
  <si>
    <t>Villa Lilliam</t>
  </si>
  <si>
    <t>Buenos Aires</t>
  </si>
  <si>
    <t>Caicedo</t>
  </si>
  <si>
    <t>Juan Pablo II</t>
  </si>
  <si>
    <t>Ocho de Marzo</t>
  </si>
  <si>
    <t>Barrios de Jesús</t>
  </si>
  <si>
    <t>Bomboná N.º 2</t>
  </si>
  <si>
    <t>Alejandro Echavarría</t>
  </si>
  <si>
    <t>Miraflores</t>
  </si>
  <si>
    <t>Cataluña</t>
  </si>
  <si>
    <t>La Milagrosa</t>
  </si>
  <si>
    <t>Gerona</t>
  </si>
  <si>
    <t>El Salvador</t>
  </si>
  <si>
    <t>Loreto</t>
  </si>
  <si>
    <t>Los Cerros</t>
  </si>
  <si>
    <t>Bosques</t>
  </si>
  <si>
    <t>materida dicta</t>
  </si>
  <si>
    <t>salario</t>
  </si>
  <si>
    <t>telefono</t>
  </si>
  <si>
    <t>matematicas</t>
  </si>
  <si>
    <t>sociales</t>
  </si>
  <si>
    <t>artistica</t>
  </si>
  <si>
    <t>cargo</t>
  </si>
  <si>
    <t>profesor</t>
  </si>
  <si>
    <t>rector</t>
  </si>
  <si>
    <t>comunicaciones</t>
  </si>
  <si>
    <t>psicologo</t>
  </si>
  <si>
    <t>personal de aseo</t>
  </si>
  <si>
    <t>coordinador disciplinario</t>
  </si>
  <si>
    <t>coordinador convivencia</t>
  </si>
  <si>
    <t>carrera</t>
  </si>
  <si>
    <t>calle</t>
  </si>
  <si>
    <t>numero</t>
  </si>
  <si>
    <t>cr</t>
  </si>
  <si>
    <t>la estrella</t>
  </si>
  <si>
    <t>la brisa</t>
  </si>
  <si>
    <t xml:space="preserve">Barrio Facultad </t>
  </si>
  <si>
    <t>numero2</t>
  </si>
  <si>
    <t>cll</t>
  </si>
  <si>
    <t>administrativo</t>
  </si>
  <si>
    <t>estudiantes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</si>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</sst>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color indexed="8"/>
      <name val="HelveticaNeue LT 55 Roman"/>
    </font>
    <font>
      <b/>
      <sz val="11"/>
      <color theme="1"/>
      <name val="Calibri"/>
      <family val="2"/>
      <scheme val="minor"/>
    </font>
    <font>
      <sz val="11"/>
      <color rgb="FF202122"/>
      <name val="Arial"/>
      <family val="2"/>
    </font>
    <font>
      <b/>
      <sz val="11"/>
      <color rgb="FF202122"/>
      <name val="Arial"/>
      <family val="2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3" fontId="0" fillId="0" borderId="1" xfId="0" applyNumberFormat="1" applyBorder="1"/>
    <xf numFmtId="0" fontId="2" fillId="0" borderId="1" xfId="1" quotePrefix="1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 wrapText="1" indent="1"/>
    </xf>
    <xf numFmtId="0" fontId="3" fillId="0" borderId="1" xfId="0" applyFont="1" applyBorder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 indent="1"/>
    </xf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Normal_Primer Apellido (por Provincia de Residencia y de Nacimiento)" xfId="1"/>
  </cellStyles>
  <dxfs count="44"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202122"/>
        <name val="Arial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2122"/>
        <name val="Arial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indexed="8"/>
        <name val="HelveticaNeue LT 55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Tabla3" displayName="Tabla3" ref="H2:O102" headerRowCount="0" totalsRowShown="0" headerRowDxfId="12">
  <tableColumns count="8">
    <tableColumn id="1" name="Columna1" dataDxfId="20"/>
    <tableColumn id="2" name="Columna2" dataDxfId="19"/>
    <tableColumn id="3" name="Columna3" dataDxfId="18"/>
    <tableColumn id="4" name="Columna4" dataDxfId="17"/>
    <tableColumn id="6" name="Columna6" dataDxfId="16"/>
    <tableColumn id="7" name="Columna7" dataDxfId="15"/>
    <tableColumn id="8" name="Columna8" dataDxfId="14"/>
    <tableColumn id="9" name="Columna9" headerRowDxfId="43" dataDxfId="13">
      <calculatedColumnFormula>RANDBETWEEN(2,6)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1" name="Tabla1" displayName="Tabla1" ref="B2:G102" headerRowCount="0" totalsRowShown="0">
  <tableColumns count="6">
    <tableColumn id="1" name="Columna1"/>
    <tableColumn id="2" name="Columna2"/>
    <tableColumn id="3" name="Columna3"/>
    <tableColumn id="4" name="Columna4"/>
    <tableColumn id="5" name="Columna5"/>
    <tableColumn id="6" name="Columna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5" name="Tabla5" displayName="Tabla5" ref="A2:A102" totalsRowShown="0" headerRowBorderDxfId="10" tableBorderDxfId="11" totalsRowBorderDxfId="9">
  <autoFilter ref="A2:A102"/>
  <tableColumns count="1">
    <tableColumn id="1" name="id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2" name="Tabla2" displayName="Tabla2" ref="B2:F24" totalsRowShown="0" headerRowDxfId="21" headerRowBorderDxfId="42" tableBorderDxfId="41" totalsRowBorderDxfId="40">
  <autoFilter ref="B2:F24"/>
  <tableColumns count="5">
    <tableColumn id="1" name="nombre" dataDxfId="26"/>
    <tableColumn id="2" name="apellido" dataDxfId="25" dataCellStyle="Normal_Primer Apellido (por Provincia de Residencia y de Nacimiento)"/>
    <tableColumn id="3" name="materida dicta" dataDxfId="24"/>
    <tableColumn id="4" name="salario" dataDxfId="23"/>
    <tableColumn id="5" name="telefono" dataDxfId="22">
      <calculatedColumnFormula>RANDBETWEEN(12348549,99293994)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6" name="Tabla6" displayName="Tabla6" ref="A2:A24" totalsRowShown="0" headerRowBorderDxfId="6" tableBorderDxfId="7" totalsRowBorderDxfId="5">
  <autoFilter ref="A2:A24"/>
  <tableColumns count="1">
    <tableColumn id="1" name="id" dataDxfId="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4" name="Tabla4" displayName="Tabla4" ref="B2:J23" totalsRowShown="0" headerRowDxfId="39" headerRowBorderDxfId="38" tableBorderDxfId="37" totalsRowBorderDxfId="36">
  <autoFilter ref="B2:J23"/>
  <tableColumns count="9">
    <tableColumn id="1" name="nombre" dataDxfId="35"/>
    <tableColumn id="2" name="apellido" dataDxfId="34"/>
    <tableColumn id="3" name="cargo" dataDxfId="33"/>
    <tableColumn id="4" name="salario" dataDxfId="32"/>
    <tableColumn id="5" name="telefono" dataDxfId="31">
      <calculatedColumnFormula>RANDBETWEEN(10204432,91923322)</calculatedColumnFormula>
    </tableColumn>
    <tableColumn id="6" name="cr" dataDxfId="30"/>
    <tableColumn id="7" name="calle" dataDxfId="29"/>
    <tableColumn id="8" name="numero" dataDxfId="28">
      <calculatedColumnFormula>RANDBETWEEN(1,100)</calculatedColumnFormula>
    </tableColumn>
    <tableColumn id="9" name="numero2" dataDxfId="27">
      <calculatedColumnFormula>Tabla4[[#This Row],[numero]]+1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Tabla7" displayName="Tabla7" ref="A2:A23" totalsRowShown="0" headerRowBorderDxfId="2" tableBorderDxfId="3" totalsRowBorderDxfId="1">
  <autoFilter ref="A2:A23"/>
  <tableColumns count="1">
    <tableColumn id="1" name="i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2"/>
  <sheetViews>
    <sheetView workbookViewId="0">
      <selection activeCell="C10" sqref="C10"/>
    </sheetView>
  </sheetViews>
  <sheetFormatPr baseColWidth="10" defaultRowHeight="15"/>
  <cols>
    <col min="1" max="1" width="18.5703125" customWidth="1"/>
    <col min="2" max="6" width="12" customWidth="1"/>
    <col min="7" max="7" width="17.7109375" customWidth="1"/>
    <col min="8" max="8" width="13" customWidth="1"/>
    <col min="9" max="9" width="13.85546875" customWidth="1"/>
    <col min="10" max="10" width="12" customWidth="1"/>
    <col min="11" max="11" width="23.5703125" customWidth="1"/>
    <col min="12" max="12" width="12" customWidth="1"/>
    <col min="13" max="13" width="23.42578125" customWidth="1"/>
    <col min="14" max="14" width="23.7109375" customWidth="1"/>
  </cols>
  <sheetData>
    <row r="1" spans="1:15">
      <c r="C1" s="10" t="s">
        <v>234</v>
      </c>
      <c r="D1" s="10"/>
      <c r="E1" s="10"/>
      <c r="F1" s="10"/>
      <c r="G1" s="10"/>
      <c r="H1" s="10"/>
      <c r="I1" s="10"/>
      <c r="J1" s="10"/>
      <c r="K1" s="10"/>
    </row>
    <row r="2" spans="1:15">
      <c r="A2" s="13" t="s">
        <v>235</v>
      </c>
      <c r="B2" s="9" t="s">
        <v>9</v>
      </c>
      <c r="C2" s="9" t="s">
        <v>10</v>
      </c>
      <c r="D2" s="9" t="s">
        <v>0</v>
      </c>
      <c r="E2" s="9" t="s">
        <v>1</v>
      </c>
      <c r="F2" s="9" t="s">
        <v>2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224</v>
      </c>
      <c r="L2" s="9" t="s">
        <v>226</v>
      </c>
      <c r="M2" s="14" t="s">
        <v>226</v>
      </c>
      <c r="N2" s="14" t="s">
        <v>7</v>
      </c>
      <c r="O2" s="9" t="s">
        <v>8</v>
      </c>
    </row>
    <row r="3" spans="1:15">
      <c r="A3" s="16">
        <v>1</v>
      </c>
      <c r="B3" s="4" t="s">
        <v>11</v>
      </c>
      <c r="C3" s="7" t="s">
        <v>99</v>
      </c>
      <c r="D3" s="4">
        <f ca="1">RANDBETWEEN(1,100)</f>
        <v>65</v>
      </c>
      <c r="E3" s="4" t="s">
        <v>148</v>
      </c>
      <c r="F3" s="4">
        <f ca="1">2022-Tabla1[[#This Row],[Columna3]]</f>
        <v>1957</v>
      </c>
      <c r="G3" s="4" t="s">
        <v>47</v>
      </c>
      <c r="H3" s="4">
        <f ca="1">RANDBETWEEN(1,5)</f>
        <v>5</v>
      </c>
      <c r="I3" s="4">
        <f ca="1">RANDBETWEEN(1,5)</f>
        <v>1</v>
      </c>
      <c r="J3" s="4">
        <f ca="1">RANDBETWEEN(1,5)</f>
        <v>5</v>
      </c>
      <c r="K3" s="4" t="s">
        <v>227</v>
      </c>
      <c r="L3" s="4">
        <f ca="1">RANDBETWEEN(1,100)</f>
        <v>15</v>
      </c>
      <c r="M3" s="8">
        <f ca="1">Tabla3[[#This Row],[Columna6]]+1</f>
        <v>16</v>
      </c>
      <c r="N3" s="8" t="s">
        <v>149</v>
      </c>
      <c r="O3" s="4">
        <f ca="1">RANDBETWEEN(2,6)</f>
        <v>6</v>
      </c>
    </row>
    <row r="4" spans="1:15">
      <c r="A4" s="16">
        <v>2</v>
      </c>
      <c r="B4" s="4" t="s">
        <v>12</v>
      </c>
      <c r="C4" s="7" t="s">
        <v>100</v>
      </c>
      <c r="D4" s="4">
        <f t="shared" ref="D4:D67" ca="1" si="0">RANDBETWEEN(1,100)</f>
        <v>57</v>
      </c>
      <c r="E4" s="4" t="s">
        <v>148</v>
      </c>
      <c r="F4" s="4">
        <f ca="1">2022-Tabla1[[#This Row],[Columna3]]</f>
        <v>1965</v>
      </c>
      <c r="G4" s="4" t="s">
        <v>48</v>
      </c>
      <c r="H4" s="4">
        <f t="shared" ref="H4:J67" ca="1" si="1">RANDBETWEEN(1,5)</f>
        <v>5</v>
      </c>
      <c r="I4" s="4">
        <f t="shared" ca="1" si="1"/>
        <v>3</v>
      </c>
      <c r="J4" s="4">
        <f t="shared" ca="1" si="1"/>
        <v>1</v>
      </c>
      <c r="K4" s="4" t="s">
        <v>227</v>
      </c>
      <c r="L4" s="4">
        <f t="shared" ref="L4:L67" ca="1" si="2">RANDBETWEEN(1,100)</f>
        <v>79</v>
      </c>
      <c r="M4" s="8">
        <f ca="1">Tabla3[[#This Row],[Columna6]]+1</f>
        <v>80</v>
      </c>
      <c r="N4" s="8" t="s">
        <v>150</v>
      </c>
      <c r="O4" s="4">
        <f t="shared" ref="O4:O67" ca="1" si="3">RANDBETWEEN(2,6)</f>
        <v>6</v>
      </c>
    </row>
    <row r="5" spans="1:15">
      <c r="A5" s="16">
        <v>3</v>
      </c>
      <c r="B5" s="4" t="s">
        <v>13</v>
      </c>
      <c r="C5" s="7" t="s">
        <v>101</v>
      </c>
      <c r="D5" s="4">
        <f t="shared" ca="1" si="0"/>
        <v>64</v>
      </c>
      <c r="E5" s="4" t="s">
        <v>148</v>
      </c>
      <c r="F5" s="4">
        <f ca="1">2022-Tabla1[[#This Row],[Columna3]]</f>
        <v>1958</v>
      </c>
      <c r="G5" s="4" t="s">
        <v>49</v>
      </c>
      <c r="H5" s="4">
        <f t="shared" ca="1" si="1"/>
        <v>1</v>
      </c>
      <c r="I5" s="4">
        <f t="shared" ca="1" si="1"/>
        <v>2</v>
      </c>
      <c r="J5" s="4">
        <f t="shared" ca="1" si="1"/>
        <v>2</v>
      </c>
      <c r="K5" s="4" t="s">
        <v>227</v>
      </c>
      <c r="L5" s="4">
        <f t="shared" ca="1" si="2"/>
        <v>52</v>
      </c>
      <c r="M5" s="8">
        <f ca="1">Tabla3[[#This Row],[Columna6]]+1</f>
        <v>53</v>
      </c>
      <c r="N5" s="8" t="s">
        <v>151</v>
      </c>
      <c r="O5" s="4">
        <f t="shared" ca="1" si="3"/>
        <v>5</v>
      </c>
    </row>
    <row r="6" spans="1:15">
      <c r="A6" s="16">
        <v>4</v>
      </c>
      <c r="B6" s="4" t="s">
        <v>14</v>
      </c>
      <c r="C6" s="7" t="s">
        <v>102</v>
      </c>
      <c r="D6" s="4">
        <f t="shared" ca="1" si="0"/>
        <v>52</v>
      </c>
      <c r="E6" s="4" t="s">
        <v>148</v>
      </c>
      <c r="F6" s="4">
        <f ca="1">2022-Tabla1[[#This Row],[Columna3]]</f>
        <v>1970</v>
      </c>
      <c r="G6" s="4" t="s">
        <v>50</v>
      </c>
      <c r="H6" s="4">
        <f t="shared" ca="1" si="1"/>
        <v>4</v>
      </c>
      <c r="I6" s="4">
        <f t="shared" ca="1" si="1"/>
        <v>1</v>
      </c>
      <c r="J6" s="4">
        <f t="shared" ca="1" si="1"/>
        <v>3</v>
      </c>
      <c r="K6" s="4" t="s">
        <v>232</v>
      </c>
      <c r="L6" s="4">
        <f t="shared" ca="1" si="2"/>
        <v>95</v>
      </c>
      <c r="M6" s="8">
        <f ca="1">Tabla3[[#This Row],[Columna6]]+1</f>
        <v>96</v>
      </c>
      <c r="N6" s="8" t="s">
        <v>156</v>
      </c>
      <c r="O6" s="4">
        <f t="shared" ca="1" si="3"/>
        <v>5</v>
      </c>
    </row>
    <row r="7" spans="1:15">
      <c r="A7" s="16">
        <v>5</v>
      </c>
      <c r="B7" s="4" t="s">
        <v>15</v>
      </c>
      <c r="C7" s="7" t="s">
        <v>103</v>
      </c>
      <c r="D7" s="4">
        <f t="shared" ca="1" si="0"/>
        <v>43</v>
      </c>
      <c r="E7" s="4" t="s">
        <v>148</v>
      </c>
      <c r="F7" s="4">
        <f ca="1">2022-Tabla1[[#This Row],[Columna3]]</f>
        <v>1979</v>
      </c>
      <c r="G7" s="4" t="s">
        <v>97</v>
      </c>
      <c r="H7" s="4">
        <f t="shared" ca="1" si="1"/>
        <v>3</v>
      </c>
      <c r="I7" s="4">
        <f t="shared" ca="1" si="1"/>
        <v>2</v>
      </c>
      <c r="J7" s="4">
        <f t="shared" ca="1" si="1"/>
        <v>1</v>
      </c>
      <c r="K7" s="4" t="s">
        <v>232</v>
      </c>
      <c r="L7" s="4">
        <f t="shared" ca="1" si="2"/>
        <v>11</v>
      </c>
      <c r="M7" s="8">
        <f ca="1">Tabla3[[#This Row],[Columna6]]+1</f>
        <v>12</v>
      </c>
      <c r="N7" s="8" t="s">
        <v>152</v>
      </c>
      <c r="O7" s="4">
        <f t="shared" ca="1" si="3"/>
        <v>3</v>
      </c>
    </row>
    <row r="8" spans="1:15">
      <c r="A8" s="16">
        <v>6</v>
      </c>
      <c r="B8" s="4" t="s">
        <v>16</v>
      </c>
      <c r="C8" s="7" t="s">
        <v>104</v>
      </c>
      <c r="D8" s="4">
        <f t="shared" ca="1" si="0"/>
        <v>52</v>
      </c>
      <c r="E8" s="4" t="s">
        <v>148</v>
      </c>
      <c r="F8" s="4">
        <f ca="1">2022-Tabla1[[#This Row],[Columna3]]</f>
        <v>1970</v>
      </c>
      <c r="G8" s="4" t="s">
        <v>51</v>
      </c>
      <c r="H8" s="4">
        <f t="shared" ca="1" si="1"/>
        <v>3</v>
      </c>
      <c r="I8" s="4">
        <f t="shared" ca="1" si="1"/>
        <v>2</v>
      </c>
      <c r="J8" s="4">
        <f t="shared" ca="1" si="1"/>
        <v>3</v>
      </c>
      <c r="K8" s="4" t="s">
        <v>232</v>
      </c>
      <c r="L8" s="4">
        <f t="shared" ca="1" si="2"/>
        <v>72</v>
      </c>
      <c r="M8" s="8">
        <f ca="1">Tabla3[[#This Row],[Columna6]]+1</f>
        <v>73</v>
      </c>
      <c r="N8" s="8" t="s">
        <v>153</v>
      </c>
      <c r="O8" s="4">
        <f t="shared" ca="1" si="3"/>
        <v>3</v>
      </c>
    </row>
    <row r="9" spans="1:15">
      <c r="A9" s="16">
        <v>7</v>
      </c>
      <c r="B9" s="4" t="s">
        <v>17</v>
      </c>
      <c r="C9" s="7" t="s">
        <v>105</v>
      </c>
      <c r="D9" s="4">
        <f t="shared" ca="1" si="0"/>
        <v>6</v>
      </c>
      <c r="E9" s="4" t="s">
        <v>148</v>
      </c>
      <c r="F9" s="4">
        <f ca="1">2022-Tabla1[[#This Row],[Columna3]]</f>
        <v>2016</v>
      </c>
      <c r="G9" s="4" t="s">
        <v>52</v>
      </c>
      <c r="H9" s="4">
        <f t="shared" ca="1" si="1"/>
        <v>2</v>
      </c>
      <c r="I9" s="4">
        <f t="shared" ca="1" si="1"/>
        <v>3</v>
      </c>
      <c r="J9" s="4">
        <f t="shared" ca="1" si="1"/>
        <v>2</v>
      </c>
      <c r="K9" s="4" t="s">
        <v>232</v>
      </c>
      <c r="L9" s="4">
        <f t="shared" ca="1" si="2"/>
        <v>44</v>
      </c>
      <c r="M9" s="8">
        <f ca="1">Tabla3[[#This Row],[Columna6]]+1</f>
        <v>45</v>
      </c>
      <c r="N9" s="8" t="s">
        <v>154</v>
      </c>
      <c r="O9" s="4">
        <f t="shared" ca="1" si="3"/>
        <v>6</v>
      </c>
    </row>
    <row r="10" spans="1:15">
      <c r="A10" s="16">
        <v>8</v>
      </c>
      <c r="B10" s="4" t="s">
        <v>94</v>
      </c>
      <c r="C10" s="7" t="s">
        <v>106</v>
      </c>
      <c r="D10" s="4">
        <f t="shared" ca="1" si="0"/>
        <v>34</v>
      </c>
      <c r="E10" s="4" t="s">
        <v>148</v>
      </c>
      <c r="F10" s="4">
        <f ca="1">2022-Tabla1[[#This Row],[Columna3]]</f>
        <v>1988</v>
      </c>
      <c r="G10" s="4" t="s">
        <v>53</v>
      </c>
      <c r="H10" s="4">
        <f t="shared" ca="1" si="1"/>
        <v>1</v>
      </c>
      <c r="I10" s="4">
        <f t="shared" ca="1" si="1"/>
        <v>5</v>
      </c>
      <c r="J10" s="4">
        <f t="shared" ca="1" si="1"/>
        <v>3</v>
      </c>
      <c r="K10" s="4" t="s">
        <v>232</v>
      </c>
      <c r="L10" s="4">
        <f t="shared" ca="1" si="2"/>
        <v>24</v>
      </c>
      <c r="M10" s="8">
        <f ca="1">Tabla3[[#This Row],[Columna6]]+1</f>
        <v>25</v>
      </c>
      <c r="N10" s="8" t="s">
        <v>155</v>
      </c>
      <c r="O10" s="4">
        <f t="shared" ca="1" si="3"/>
        <v>2</v>
      </c>
    </row>
    <row r="11" spans="1:15">
      <c r="A11" s="16">
        <v>9</v>
      </c>
      <c r="B11" s="4" t="s">
        <v>18</v>
      </c>
      <c r="C11" s="7" t="s">
        <v>107</v>
      </c>
      <c r="D11" s="4">
        <f t="shared" ca="1" si="0"/>
        <v>73</v>
      </c>
      <c r="E11" s="4" t="s">
        <v>148</v>
      </c>
      <c r="F11" s="4">
        <f ca="1">2022-Tabla1[[#This Row],[Columna3]]</f>
        <v>1949</v>
      </c>
      <c r="G11" s="4" t="s">
        <v>54</v>
      </c>
      <c r="H11" s="4">
        <f t="shared" ca="1" si="1"/>
        <v>4</v>
      </c>
      <c r="I11" s="4">
        <f t="shared" ca="1" si="1"/>
        <v>5</v>
      </c>
      <c r="J11" s="4">
        <f t="shared" ca="1" si="1"/>
        <v>4</v>
      </c>
      <c r="K11" s="4" t="s">
        <v>232</v>
      </c>
      <c r="L11" s="4">
        <f t="shared" ca="1" si="2"/>
        <v>12</v>
      </c>
      <c r="M11" s="8">
        <f ca="1">Tabla3[[#This Row],[Columna6]]+1</f>
        <v>13</v>
      </c>
      <c r="N11" s="8" t="s">
        <v>149</v>
      </c>
      <c r="O11" s="4">
        <f t="shared" ca="1" si="3"/>
        <v>3</v>
      </c>
    </row>
    <row r="12" spans="1:15">
      <c r="A12" s="16">
        <v>10</v>
      </c>
      <c r="B12" s="4" t="s">
        <v>97</v>
      </c>
      <c r="C12" s="7" t="s">
        <v>108</v>
      </c>
      <c r="D12" s="4">
        <f t="shared" ca="1" si="0"/>
        <v>4</v>
      </c>
      <c r="E12" s="4" t="s">
        <v>148</v>
      </c>
      <c r="F12" s="4">
        <f ca="1">2022-Tabla1[[#This Row],[Columna3]]</f>
        <v>2018</v>
      </c>
      <c r="G12" s="4" t="s">
        <v>55</v>
      </c>
      <c r="H12" s="4">
        <f t="shared" ca="1" si="1"/>
        <v>4</v>
      </c>
      <c r="I12" s="4">
        <f t="shared" ca="1" si="1"/>
        <v>2</v>
      </c>
      <c r="J12" s="4">
        <f t="shared" ca="1" si="1"/>
        <v>4</v>
      </c>
      <c r="K12" s="4" t="s">
        <v>232</v>
      </c>
      <c r="L12" s="4">
        <f t="shared" ca="1" si="2"/>
        <v>79</v>
      </c>
      <c r="M12" s="8">
        <f ca="1">Tabla3[[#This Row],[Columna6]]+1</f>
        <v>80</v>
      </c>
      <c r="N12" s="8" t="s">
        <v>150</v>
      </c>
      <c r="O12" s="4">
        <f t="shared" ca="1" si="3"/>
        <v>3</v>
      </c>
    </row>
    <row r="13" spans="1:15">
      <c r="A13" s="16">
        <v>11</v>
      </c>
      <c r="B13" s="4" t="s">
        <v>19</v>
      </c>
      <c r="C13" s="7" t="s">
        <v>109</v>
      </c>
      <c r="D13" s="4">
        <f t="shared" ca="1" si="0"/>
        <v>72</v>
      </c>
      <c r="E13" s="4" t="s">
        <v>148</v>
      </c>
      <c r="F13" s="4">
        <f ca="1">2022-Tabla1[[#This Row],[Columna3]]</f>
        <v>1950</v>
      </c>
      <c r="G13" s="4" t="s">
        <v>56</v>
      </c>
      <c r="H13" s="4">
        <f t="shared" ca="1" si="1"/>
        <v>2</v>
      </c>
      <c r="I13" s="4">
        <f t="shared" ca="1" si="1"/>
        <v>5</v>
      </c>
      <c r="J13" s="4">
        <f t="shared" ca="1" si="1"/>
        <v>1</v>
      </c>
      <c r="K13" s="4" t="s">
        <v>232</v>
      </c>
      <c r="L13" s="4">
        <f t="shared" ca="1" si="2"/>
        <v>3</v>
      </c>
      <c r="M13" s="8">
        <f ca="1">Tabla3[[#This Row],[Columna6]]+1</f>
        <v>4</v>
      </c>
      <c r="N13" s="8" t="s">
        <v>151</v>
      </c>
      <c r="O13" s="4">
        <f t="shared" ca="1" si="3"/>
        <v>5</v>
      </c>
    </row>
    <row r="14" spans="1:15">
      <c r="A14" s="16">
        <v>12</v>
      </c>
      <c r="B14" s="4" t="s">
        <v>20</v>
      </c>
      <c r="C14" s="7" t="s">
        <v>110</v>
      </c>
      <c r="D14" s="4">
        <f t="shared" ca="1" si="0"/>
        <v>62</v>
      </c>
      <c r="E14" s="4" t="s">
        <v>148</v>
      </c>
      <c r="F14" s="4">
        <f ca="1">2022-Tabla1[[#This Row],[Columna3]]</f>
        <v>1960</v>
      </c>
      <c r="G14" s="4" t="s">
        <v>57</v>
      </c>
      <c r="H14" s="4">
        <f t="shared" ca="1" si="1"/>
        <v>1</v>
      </c>
      <c r="I14" s="4">
        <f t="shared" ca="1" si="1"/>
        <v>4</v>
      </c>
      <c r="J14" s="4">
        <f t="shared" ca="1" si="1"/>
        <v>2</v>
      </c>
      <c r="K14" s="4" t="s">
        <v>232</v>
      </c>
      <c r="L14" s="4">
        <f t="shared" ca="1" si="2"/>
        <v>30</v>
      </c>
      <c r="M14" s="8">
        <f ca="1">Tabla3[[#This Row],[Columna6]]+1</f>
        <v>31</v>
      </c>
      <c r="N14" s="8" t="s">
        <v>156</v>
      </c>
      <c r="O14" s="4">
        <f t="shared" ca="1" si="3"/>
        <v>5</v>
      </c>
    </row>
    <row r="15" spans="1:15">
      <c r="A15" s="16">
        <v>13</v>
      </c>
      <c r="B15" s="4" t="s">
        <v>21</v>
      </c>
      <c r="C15" s="7" t="s">
        <v>111</v>
      </c>
      <c r="D15" s="4">
        <f t="shared" ca="1" si="0"/>
        <v>6</v>
      </c>
      <c r="E15" s="4" t="s">
        <v>148</v>
      </c>
      <c r="F15" s="4">
        <f ca="1">2022-Tabla1[[#This Row],[Columna3]]</f>
        <v>2016</v>
      </c>
      <c r="G15" s="4" t="s">
        <v>58</v>
      </c>
      <c r="H15" s="4">
        <f t="shared" ca="1" si="1"/>
        <v>1</v>
      </c>
      <c r="I15" s="4">
        <f t="shared" ca="1" si="1"/>
        <v>1</v>
      </c>
      <c r="J15" s="4">
        <f t="shared" ca="1" si="1"/>
        <v>4</v>
      </c>
      <c r="K15" s="4" t="s">
        <v>232</v>
      </c>
      <c r="L15" s="4">
        <f t="shared" ca="1" si="2"/>
        <v>25</v>
      </c>
      <c r="M15" s="8">
        <f ca="1">Tabla3[[#This Row],[Columna6]]+1</f>
        <v>26</v>
      </c>
      <c r="N15" s="8" t="s">
        <v>152</v>
      </c>
      <c r="O15" s="4">
        <f t="shared" ca="1" si="3"/>
        <v>6</v>
      </c>
    </row>
    <row r="16" spans="1:15">
      <c r="A16" s="16">
        <v>14</v>
      </c>
      <c r="B16" s="4" t="s">
        <v>22</v>
      </c>
      <c r="C16" s="7" t="s">
        <v>112</v>
      </c>
      <c r="D16" s="4">
        <f t="shared" ca="1" si="0"/>
        <v>38</v>
      </c>
      <c r="E16" s="4" t="s">
        <v>148</v>
      </c>
      <c r="F16" s="4">
        <f ca="1">2022-Tabla1[[#This Row],[Columna3]]</f>
        <v>1984</v>
      </c>
      <c r="G16" s="4" t="s">
        <v>59</v>
      </c>
      <c r="H16" s="4">
        <f t="shared" ca="1" si="1"/>
        <v>5</v>
      </c>
      <c r="I16" s="4">
        <f t="shared" ca="1" si="1"/>
        <v>5</v>
      </c>
      <c r="J16" s="4">
        <f t="shared" ca="1" si="1"/>
        <v>4</v>
      </c>
      <c r="K16" s="4" t="s">
        <v>232</v>
      </c>
      <c r="L16" s="4">
        <f t="shared" ca="1" si="2"/>
        <v>85</v>
      </c>
      <c r="M16" s="8">
        <f ca="1">Tabla3[[#This Row],[Columna6]]+1</f>
        <v>86</v>
      </c>
      <c r="N16" s="8" t="s">
        <v>153</v>
      </c>
      <c r="O16" s="4">
        <f t="shared" ca="1" si="3"/>
        <v>2</v>
      </c>
    </row>
    <row r="17" spans="1:15">
      <c r="A17" s="16">
        <v>15</v>
      </c>
      <c r="B17" s="4" t="s">
        <v>23</v>
      </c>
      <c r="C17" s="7" t="s">
        <v>113</v>
      </c>
      <c r="D17" s="4">
        <f t="shared" ca="1" si="0"/>
        <v>21</v>
      </c>
      <c r="E17" s="4" t="s">
        <v>148</v>
      </c>
      <c r="F17" s="4">
        <f ca="1">2022-Tabla1[[#This Row],[Columna3]]</f>
        <v>2001</v>
      </c>
      <c r="G17" s="4" t="s">
        <v>60</v>
      </c>
      <c r="H17" s="4">
        <f t="shared" ca="1" si="1"/>
        <v>3</v>
      </c>
      <c r="I17" s="4">
        <f t="shared" ca="1" si="1"/>
        <v>4</v>
      </c>
      <c r="J17" s="4">
        <f t="shared" ca="1" si="1"/>
        <v>2</v>
      </c>
      <c r="K17" s="4" t="s">
        <v>232</v>
      </c>
      <c r="L17" s="4">
        <f t="shared" ca="1" si="2"/>
        <v>9</v>
      </c>
      <c r="M17" s="8">
        <f ca="1">Tabla3[[#This Row],[Columna6]]+1</f>
        <v>10</v>
      </c>
      <c r="N17" s="8" t="s">
        <v>154</v>
      </c>
      <c r="O17" s="4">
        <f t="shared" ca="1" si="3"/>
        <v>6</v>
      </c>
    </row>
    <row r="18" spans="1:15">
      <c r="A18" s="16">
        <v>16</v>
      </c>
      <c r="B18" s="4" t="s">
        <v>94</v>
      </c>
      <c r="C18" s="7" t="s">
        <v>114</v>
      </c>
      <c r="D18" s="4">
        <f t="shared" ca="1" si="0"/>
        <v>62</v>
      </c>
      <c r="E18" s="4" t="s">
        <v>148</v>
      </c>
      <c r="F18" s="4">
        <f ca="1">2022-Tabla1[[#This Row],[Columna3]]</f>
        <v>1960</v>
      </c>
      <c r="G18" s="4" t="s">
        <v>61</v>
      </c>
      <c r="H18" s="4">
        <f t="shared" ca="1" si="1"/>
        <v>5</v>
      </c>
      <c r="I18" s="4">
        <f t="shared" ca="1" si="1"/>
        <v>4</v>
      </c>
      <c r="J18" s="4">
        <f t="shared" ca="1" si="1"/>
        <v>1</v>
      </c>
      <c r="K18" s="4" t="s">
        <v>232</v>
      </c>
      <c r="L18" s="4">
        <f t="shared" ca="1" si="2"/>
        <v>25</v>
      </c>
      <c r="M18" s="8">
        <f ca="1">Tabla3[[#This Row],[Columna6]]+1</f>
        <v>26</v>
      </c>
      <c r="N18" s="8" t="s">
        <v>155</v>
      </c>
      <c r="O18" s="4">
        <f t="shared" ca="1" si="3"/>
        <v>4</v>
      </c>
    </row>
    <row r="19" spans="1:15">
      <c r="A19" s="16">
        <v>17</v>
      </c>
      <c r="B19" s="4" t="s">
        <v>24</v>
      </c>
      <c r="C19" s="7" t="s">
        <v>115</v>
      </c>
      <c r="D19" s="4">
        <f t="shared" ca="1" si="0"/>
        <v>54</v>
      </c>
      <c r="E19" s="4" t="s">
        <v>148</v>
      </c>
      <c r="F19" s="4">
        <f ca="1">2022-Tabla1[[#This Row],[Columna3]]</f>
        <v>1968</v>
      </c>
      <c r="G19" s="4" t="s">
        <v>62</v>
      </c>
      <c r="H19" s="4">
        <f t="shared" ca="1" si="1"/>
        <v>1</v>
      </c>
      <c r="I19" s="4">
        <f t="shared" ca="1" si="1"/>
        <v>4</v>
      </c>
      <c r="J19" s="4">
        <f t="shared" ca="1" si="1"/>
        <v>5</v>
      </c>
      <c r="K19" s="4" t="s">
        <v>232</v>
      </c>
      <c r="L19" s="4">
        <f t="shared" ca="1" si="2"/>
        <v>8</v>
      </c>
      <c r="M19" s="8">
        <f ca="1">Tabla3[[#This Row],[Columna6]]+1</f>
        <v>9</v>
      </c>
      <c r="N19" s="8" t="s">
        <v>157</v>
      </c>
      <c r="O19" s="4">
        <f t="shared" ca="1" si="3"/>
        <v>6</v>
      </c>
    </row>
    <row r="20" spans="1:15">
      <c r="A20" s="16">
        <v>18</v>
      </c>
      <c r="B20" s="4" t="s">
        <v>98</v>
      </c>
      <c r="C20" s="7" t="s">
        <v>116</v>
      </c>
      <c r="D20" s="4">
        <f t="shared" ca="1" si="0"/>
        <v>3</v>
      </c>
      <c r="E20" s="4" t="s">
        <v>148</v>
      </c>
      <c r="F20" s="4">
        <f ca="1">2022-Tabla1[[#This Row],[Columna3]]</f>
        <v>2019</v>
      </c>
      <c r="G20" s="4" t="s">
        <v>63</v>
      </c>
      <c r="H20" s="4">
        <f t="shared" ca="1" si="1"/>
        <v>3</v>
      </c>
      <c r="I20" s="4">
        <f t="shared" ca="1" si="1"/>
        <v>1</v>
      </c>
      <c r="J20" s="4">
        <f t="shared" ca="1" si="1"/>
        <v>2</v>
      </c>
      <c r="K20" s="4" t="s">
        <v>232</v>
      </c>
      <c r="L20" s="4">
        <f t="shared" ca="1" si="2"/>
        <v>84</v>
      </c>
      <c r="M20" s="8">
        <f ca="1">Tabla3[[#This Row],[Columna6]]+1</f>
        <v>85</v>
      </c>
      <c r="N20" s="8" t="s">
        <v>228</v>
      </c>
      <c r="O20" s="4">
        <f t="shared" ca="1" si="3"/>
        <v>4</v>
      </c>
    </row>
    <row r="21" spans="1:15">
      <c r="A21" s="16">
        <v>19</v>
      </c>
      <c r="B21" s="4" t="s">
        <v>25</v>
      </c>
      <c r="C21" s="7" t="s">
        <v>117</v>
      </c>
      <c r="D21" s="4">
        <f t="shared" ca="1" si="0"/>
        <v>10</v>
      </c>
      <c r="E21" s="4" t="s">
        <v>148</v>
      </c>
      <c r="F21" s="4">
        <f ca="1">2022-Tabla1[[#This Row],[Columna3]]</f>
        <v>2012</v>
      </c>
      <c r="G21" s="4" t="s">
        <v>64</v>
      </c>
      <c r="H21" s="4">
        <f t="shared" ca="1" si="1"/>
        <v>4</v>
      </c>
      <c r="I21" s="4">
        <f t="shared" ca="1" si="1"/>
        <v>3</v>
      </c>
      <c r="J21" s="4">
        <f t="shared" ca="1" si="1"/>
        <v>5</v>
      </c>
      <c r="K21" s="4" t="s">
        <v>232</v>
      </c>
      <c r="L21" s="4">
        <f t="shared" ca="1" si="2"/>
        <v>14</v>
      </c>
      <c r="M21" s="8">
        <f ca="1">Tabla3[[#This Row],[Columna6]]+1</f>
        <v>15</v>
      </c>
      <c r="N21" s="8" t="s">
        <v>158</v>
      </c>
      <c r="O21" s="4">
        <f t="shared" ca="1" si="3"/>
        <v>5</v>
      </c>
    </row>
    <row r="22" spans="1:15">
      <c r="A22" s="16">
        <v>20</v>
      </c>
      <c r="B22" s="4" t="s">
        <v>26</v>
      </c>
      <c r="C22" s="7" t="s">
        <v>118</v>
      </c>
      <c r="D22" s="4">
        <f t="shared" ca="1" si="0"/>
        <v>21</v>
      </c>
      <c r="E22" s="4" t="s">
        <v>148</v>
      </c>
      <c r="F22" s="4">
        <f ca="1">2022-Tabla1[[#This Row],[Columna3]]</f>
        <v>2001</v>
      </c>
      <c r="G22" s="4" t="s">
        <v>65</v>
      </c>
      <c r="H22" s="4">
        <f t="shared" ca="1" si="1"/>
        <v>3</v>
      </c>
      <c r="I22" s="4">
        <f t="shared" ca="1" si="1"/>
        <v>2</v>
      </c>
      <c r="J22" s="4">
        <f t="shared" ca="1" si="1"/>
        <v>1</v>
      </c>
      <c r="K22" s="4" t="s">
        <v>232</v>
      </c>
      <c r="L22" s="4">
        <f t="shared" ca="1" si="2"/>
        <v>48</v>
      </c>
      <c r="M22" s="8">
        <f ca="1">Tabla3[[#This Row],[Columna6]]+1</f>
        <v>49</v>
      </c>
      <c r="N22" s="8" t="s">
        <v>229</v>
      </c>
      <c r="O22" s="4">
        <f t="shared" ca="1" si="3"/>
        <v>5</v>
      </c>
    </row>
    <row r="23" spans="1:15">
      <c r="A23" s="16">
        <v>21</v>
      </c>
      <c r="B23" s="4" t="s">
        <v>27</v>
      </c>
      <c r="C23" s="7" t="s">
        <v>119</v>
      </c>
      <c r="D23" s="4">
        <f t="shared" ca="1" si="0"/>
        <v>66</v>
      </c>
      <c r="E23" s="4" t="s">
        <v>148</v>
      </c>
      <c r="F23" s="4">
        <f ca="1">2022-Tabla1[[#This Row],[Columna3]]</f>
        <v>1956</v>
      </c>
      <c r="G23" s="4" t="s">
        <v>66</v>
      </c>
      <c r="H23" s="4">
        <f t="shared" ca="1" si="1"/>
        <v>1</v>
      </c>
      <c r="I23" s="4">
        <f t="shared" ca="1" si="1"/>
        <v>1</v>
      </c>
      <c r="J23" s="4">
        <f t="shared" ca="1" si="1"/>
        <v>2</v>
      </c>
      <c r="K23" s="4" t="s">
        <v>232</v>
      </c>
      <c r="L23" s="4">
        <f t="shared" ca="1" si="2"/>
        <v>41</v>
      </c>
      <c r="M23" s="8">
        <f ca="1">Tabla3[[#This Row],[Columna6]]+1</f>
        <v>42</v>
      </c>
      <c r="N23" s="8" t="s">
        <v>159</v>
      </c>
      <c r="O23" s="4">
        <f t="shared" ca="1" si="3"/>
        <v>5</v>
      </c>
    </row>
    <row r="24" spans="1:15">
      <c r="A24" s="16">
        <v>22</v>
      </c>
      <c r="B24" s="4" t="s">
        <v>28</v>
      </c>
      <c r="C24" s="7" t="s">
        <v>64</v>
      </c>
      <c r="D24" s="4">
        <f t="shared" ca="1" si="0"/>
        <v>7</v>
      </c>
      <c r="E24" s="4" t="s">
        <v>148</v>
      </c>
      <c r="F24" s="4">
        <f ca="1">2022-Tabla1[[#This Row],[Columna3]]</f>
        <v>2015</v>
      </c>
      <c r="G24" s="4" t="s">
        <v>67</v>
      </c>
      <c r="H24" s="4">
        <f t="shared" ca="1" si="1"/>
        <v>4</v>
      </c>
      <c r="I24" s="4">
        <f t="shared" ca="1" si="1"/>
        <v>3</v>
      </c>
      <c r="J24" s="4">
        <f t="shared" ca="1" si="1"/>
        <v>2</v>
      </c>
      <c r="K24" s="4" t="s">
        <v>227</v>
      </c>
      <c r="L24" s="4">
        <f t="shared" ca="1" si="2"/>
        <v>68</v>
      </c>
      <c r="M24" s="8">
        <f ca="1">Tabla3[[#This Row],[Columna6]]+1</f>
        <v>69</v>
      </c>
      <c r="N24" s="8" t="s">
        <v>160</v>
      </c>
      <c r="O24" s="4">
        <f t="shared" ca="1" si="3"/>
        <v>4</v>
      </c>
    </row>
    <row r="25" spans="1:15">
      <c r="A25" s="16">
        <v>23</v>
      </c>
      <c r="B25" s="4" t="s">
        <v>94</v>
      </c>
      <c r="C25" s="7" t="s">
        <v>120</v>
      </c>
      <c r="D25" s="4">
        <f t="shared" ca="1" si="0"/>
        <v>48</v>
      </c>
      <c r="E25" s="4" t="s">
        <v>148</v>
      </c>
      <c r="F25" s="4">
        <f ca="1">2022-Tabla1[[#This Row],[Columna3]]</f>
        <v>1974</v>
      </c>
      <c r="G25" s="4" t="s">
        <v>68</v>
      </c>
      <c r="H25" s="4">
        <f t="shared" ca="1" si="1"/>
        <v>1</v>
      </c>
      <c r="I25" s="4">
        <f t="shared" ca="1" si="1"/>
        <v>3</v>
      </c>
      <c r="J25" s="4">
        <f t="shared" ca="1" si="1"/>
        <v>5</v>
      </c>
      <c r="K25" s="4" t="s">
        <v>227</v>
      </c>
      <c r="L25" s="4">
        <f t="shared" ca="1" si="2"/>
        <v>83</v>
      </c>
      <c r="M25" s="8">
        <f ca="1">Tabla3[[#This Row],[Columna6]]+1</f>
        <v>84</v>
      </c>
      <c r="N25" s="8" t="s">
        <v>161</v>
      </c>
      <c r="O25" s="4">
        <f t="shared" ca="1" si="3"/>
        <v>5</v>
      </c>
    </row>
    <row r="26" spans="1:15">
      <c r="A26" s="16">
        <v>24</v>
      </c>
      <c r="B26" s="4" t="s">
        <v>29</v>
      </c>
      <c r="C26" s="7" t="s">
        <v>121</v>
      </c>
      <c r="D26" s="4">
        <f t="shared" ca="1" si="0"/>
        <v>96</v>
      </c>
      <c r="E26" s="4" t="s">
        <v>148</v>
      </c>
      <c r="F26" s="4">
        <f ca="1">2022-Tabla1[[#This Row],[Columna3]]</f>
        <v>1926</v>
      </c>
      <c r="G26" s="4" t="s">
        <v>60</v>
      </c>
      <c r="H26" s="4">
        <f t="shared" ca="1" si="1"/>
        <v>5</v>
      </c>
      <c r="I26" s="4">
        <f t="shared" ca="1" si="1"/>
        <v>3</v>
      </c>
      <c r="J26" s="4">
        <f t="shared" ca="1" si="1"/>
        <v>4</v>
      </c>
      <c r="K26" s="4" t="s">
        <v>227</v>
      </c>
      <c r="L26" s="4">
        <f t="shared" ca="1" si="2"/>
        <v>100</v>
      </c>
      <c r="M26" s="8">
        <f ca="1">Tabla3[[#This Row],[Columna6]]+1</f>
        <v>101</v>
      </c>
      <c r="N26" s="8" t="s">
        <v>162</v>
      </c>
      <c r="O26" s="4">
        <f t="shared" ca="1" si="3"/>
        <v>2</v>
      </c>
    </row>
    <row r="27" spans="1:15">
      <c r="A27" s="16">
        <v>25</v>
      </c>
      <c r="B27" s="4" t="s">
        <v>30</v>
      </c>
      <c r="C27" s="7" t="s">
        <v>122</v>
      </c>
      <c r="D27" s="4">
        <f t="shared" ca="1" si="0"/>
        <v>74</v>
      </c>
      <c r="E27" s="4" t="s">
        <v>148</v>
      </c>
      <c r="F27" s="4">
        <f ca="1">2022-Tabla1[[#This Row],[Columna3]]</f>
        <v>1948</v>
      </c>
      <c r="G27" s="4" t="s">
        <v>61</v>
      </c>
      <c r="H27" s="4">
        <f t="shared" ca="1" si="1"/>
        <v>4</v>
      </c>
      <c r="I27" s="4">
        <f t="shared" ca="1" si="1"/>
        <v>4</v>
      </c>
      <c r="J27" s="4">
        <f t="shared" ca="1" si="1"/>
        <v>4</v>
      </c>
      <c r="K27" s="4" t="s">
        <v>227</v>
      </c>
      <c r="L27" s="4">
        <f t="shared" ca="1" si="2"/>
        <v>36</v>
      </c>
      <c r="M27" s="8">
        <f ca="1">Tabla3[[#This Row],[Columna6]]+1</f>
        <v>37</v>
      </c>
      <c r="N27" s="8" t="s">
        <v>163</v>
      </c>
      <c r="O27" s="4">
        <f t="shared" ca="1" si="3"/>
        <v>2</v>
      </c>
    </row>
    <row r="28" spans="1:15">
      <c r="A28" s="16">
        <v>26</v>
      </c>
      <c r="B28" s="4" t="s">
        <v>31</v>
      </c>
      <c r="C28" s="7" t="s">
        <v>123</v>
      </c>
      <c r="D28" s="4">
        <f t="shared" ca="1" si="0"/>
        <v>31</v>
      </c>
      <c r="E28" s="4" t="s">
        <v>148</v>
      </c>
      <c r="F28" s="4">
        <f ca="1">2022-Tabla1[[#This Row],[Columna3]]</f>
        <v>1991</v>
      </c>
      <c r="G28" s="4" t="s">
        <v>62</v>
      </c>
      <c r="H28" s="4">
        <f t="shared" ca="1" si="1"/>
        <v>1</v>
      </c>
      <c r="I28" s="4">
        <f t="shared" ca="1" si="1"/>
        <v>3</v>
      </c>
      <c r="J28" s="4">
        <f t="shared" ca="1" si="1"/>
        <v>3</v>
      </c>
      <c r="K28" s="4" t="s">
        <v>227</v>
      </c>
      <c r="L28" s="4">
        <f t="shared" ca="1" si="2"/>
        <v>62</v>
      </c>
      <c r="M28" s="8">
        <f ca="1">Tabla3[[#This Row],[Columna6]]+1</f>
        <v>63</v>
      </c>
      <c r="N28" s="8" t="s">
        <v>164</v>
      </c>
      <c r="O28" s="4">
        <f t="shared" ca="1" si="3"/>
        <v>4</v>
      </c>
    </row>
    <row r="29" spans="1:15">
      <c r="A29" s="16">
        <v>27</v>
      </c>
      <c r="B29" s="4" t="s">
        <v>32</v>
      </c>
      <c r="C29" s="7" t="s">
        <v>124</v>
      </c>
      <c r="D29" s="4">
        <f t="shared" ca="1" si="0"/>
        <v>61</v>
      </c>
      <c r="E29" s="4" t="s">
        <v>148</v>
      </c>
      <c r="F29" s="4">
        <f ca="1">2022-Tabla1[[#This Row],[Columna3]]</f>
        <v>1961</v>
      </c>
      <c r="G29" s="4" t="s">
        <v>63</v>
      </c>
      <c r="H29" s="4">
        <f t="shared" ca="1" si="1"/>
        <v>4</v>
      </c>
      <c r="I29" s="4">
        <f t="shared" ca="1" si="1"/>
        <v>4</v>
      </c>
      <c r="J29" s="4">
        <f t="shared" ca="1" si="1"/>
        <v>5</v>
      </c>
      <c r="K29" s="4" t="s">
        <v>227</v>
      </c>
      <c r="L29" s="4">
        <f t="shared" ca="1" si="2"/>
        <v>1</v>
      </c>
      <c r="M29" s="8">
        <f ca="1">Tabla3[[#This Row],[Columna6]]+1</f>
        <v>2</v>
      </c>
      <c r="N29" s="8" t="s">
        <v>165</v>
      </c>
      <c r="O29" s="4">
        <f t="shared" ca="1" si="3"/>
        <v>6</v>
      </c>
    </row>
    <row r="30" spans="1:15">
      <c r="A30" s="16">
        <v>28</v>
      </c>
      <c r="B30" s="4" t="s">
        <v>33</v>
      </c>
      <c r="C30" s="7" t="s">
        <v>125</v>
      </c>
      <c r="D30" s="4">
        <f t="shared" ca="1" si="0"/>
        <v>63</v>
      </c>
      <c r="E30" s="4" t="s">
        <v>148</v>
      </c>
      <c r="F30" s="4">
        <f ca="1">2022-Tabla1[[#This Row],[Columna3]]</f>
        <v>1959</v>
      </c>
      <c r="G30" s="4" t="s">
        <v>64</v>
      </c>
      <c r="H30" s="4">
        <f t="shared" ca="1" si="1"/>
        <v>3</v>
      </c>
      <c r="I30" s="4">
        <f t="shared" ca="1" si="1"/>
        <v>1</v>
      </c>
      <c r="J30" s="4">
        <f t="shared" ca="1" si="1"/>
        <v>2</v>
      </c>
      <c r="K30" s="4" t="s">
        <v>227</v>
      </c>
      <c r="L30" s="4">
        <f t="shared" ca="1" si="2"/>
        <v>41</v>
      </c>
      <c r="M30" s="8">
        <f ca="1">Tabla3[[#This Row],[Columna6]]+1</f>
        <v>42</v>
      </c>
      <c r="N30" s="8" t="s">
        <v>166</v>
      </c>
      <c r="O30" s="4">
        <f t="shared" ca="1" si="3"/>
        <v>3</v>
      </c>
    </row>
    <row r="31" spans="1:15">
      <c r="A31" s="16">
        <v>29</v>
      </c>
      <c r="B31" s="4" t="s">
        <v>93</v>
      </c>
      <c r="C31" s="7" t="s">
        <v>126</v>
      </c>
      <c r="D31" s="4">
        <f t="shared" ca="1" si="0"/>
        <v>14</v>
      </c>
      <c r="E31" s="4" t="s">
        <v>148</v>
      </c>
      <c r="F31" s="4">
        <f ca="1">2022-Tabla1[[#This Row],[Columna3]]</f>
        <v>2008</v>
      </c>
      <c r="G31" s="4" t="s">
        <v>65</v>
      </c>
      <c r="H31" s="4">
        <f t="shared" ca="1" si="1"/>
        <v>1</v>
      </c>
      <c r="I31" s="4">
        <f t="shared" ca="1" si="1"/>
        <v>2</v>
      </c>
      <c r="J31" s="4">
        <f t="shared" ca="1" si="1"/>
        <v>4</v>
      </c>
      <c r="K31" s="4" t="s">
        <v>227</v>
      </c>
      <c r="L31" s="4">
        <f t="shared" ca="1" si="2"/>
        <v>92</v>
      </c>
      <c r="M31" s="8">
        <f ca="1">Tabla3[[#This Row],[Columna6]]+1</f>
        <v>93</v>
      </c>
      <c r="N31" s="8" t="s">
        <v>167</v>
      </c>
      <c r="O31" s="4">
        <f t="shared" ca="1" si="3"/>
        <v>5</v>
      </c>
    </row>
    <row r="32" spans="1:15">
      <c r="A32" s="16">
        <v>30</v>
      </c>
      <c r="B32" s="4" t="s">
        <v>34</v>
      </c>
      <c r="C32" s="7" t="s">
        <v>127</v>
      </c>
      <c r="D32" s="4">
        <f t="shared" ca="1" si="0"/>
        <v>30</v>
      </c>
      <c r="E32" s="4" t="s">
        <v>148</v>
      </c>
      <c r="F32" s="4">
        <f ca="1">2022-Tabla1[[#This Row],[Columna3]]</f>
        <v>1992</v>
      </c>
      <c r="G32" s="4" t="s">
        <v>66</v>
      </c>
      <c r="H32" s="4">
        <f t="shared" ca="1" si="1"/>
        <v>3</v>
      </c>
      <c r="I32" s="4">
        <f t="shared" ca="1" si="1"/>
        <v>2</v>
      </c>
      <c r="J32" s="4">
        <f t="shared" ca="1" si="1"/>
        <v>1</v>
      </c>
      <c r="K32" s="4" t="s">
        <v>227</v>
      </c>
      <c r="L32" s="4">
        <f t="shared" ca="1" si="2"/>
        <v>16</v>
      </c>
      <c r="M32" s="8">
        <f ca="1">Tabla3[[#This Row],[Columna6]]+1</f>
        <v>17</v>
      </c>
      <c r="N32" s="8" t="s">
        <v>168</v>
      </c>
      <c r="O32" s="4">
        <f t="shared" ca="1" si="3"/>
        <v>2</v>
      </c>
    </row>
    <row r="33" spans="1:15">
      <c r="A33" s="16">
        <v>31</v>
      </c>
      <c r="B33" s="4" t="s">
        <v>35</v>
      </c>
      <c r="C33" s="7" t="s">
        <v>128</v>
      </c>
      <c r="D33" s="4">
        <f t="shared" ca="1" si="0"/>
        <v>28</v>
      </c>
      <c r="E33" s="4" t="s">
        <v>148</v>
      </c>
      <c r="F33" s="4">
        <f ca="1">2022-Tabla1[[#This Row],[Columna3]]</f>
        <v>1994</v>
      </c>
      <c r="G33" s="4" t="s">
        <v>67</v>
      </c>
      <c r="H33" s="4">
        <f t="shared" ca="1" si="1"/>
        <v>4</v>
      </c>
      <c r="I33" s="4">
        <f t="shared" ca="1" si="1"/>
        <v>5</v>
      </c>
      <c r="J33" s="4">
        <f t="shared" ca="1" si="1"/>
        <v>3</v>
      </c>
      <c r="K33" s="4" t="s">
        <v>227</v>
      </c>
      <c r="L33" s="4">
        <f t="shared" ca="1" si="2"/>
        <v>29</v>
      </c>
      <c r="M33" s="8">
        <f ca="1">Tabla3[[#This Row],[Columna6]]+1</f>
        <v>30</v>
      </c>
      <c r="N33" s="8" t="s">
        <v>169</v>
      </c>
      <c r="O33" s="4">
        <f t="shared" ca="1" si="3"/>
        <v>5</v>
      </c>
    </row>
    <row r="34" spans="1:15">
      <c r="A34" s="16">
        <v>32</v>
      </c>
      <c r="B34" s="4" t="s">
        <v>93</v>
      </c>
      <c r="C34" s="7" t="s">
        <v>129</v>
      </c>
      <c r="D34" s="4">
        <f t="shared" ca="1" si="0"/>
        <v>81</v>
      </c>
      <c r="E34" s="4" t="s">
        <v>148</v>
      </c>
      <c r="F34" s="4">
        <f ca="1">2022-Tabla1[[#This Row],[Columna3]]</f>
        <v>1941</v>
      </c>
      <c r="G34" s="4" t="s">
        <v>68</v>
      </c>
      <c r="H34" s="4">
        <f t="shared" ca="1" si="1"/>
        <v>1</v>
      </c>
      <c r="I34" s="4">
        <f t="shared" ca="1" si="1"/>
        <v>4</v>
      </c>
      <c r="J34" s="4">
        <f t="shared" ca="1" si="1"/>
        <v>1</v>
      </c>
      <c r="K34" s="4" t="s">
        <v>227</v>
      </c>
      <c r="L34" s="4">
        <f t="shared" ca="1" si="2"/>
        <v>29</v>
      </c>
      <c r="M34" s="8">
        <f ca="1">Tabla3[[#This Row],[Columna6]]+1</f>
        <v>30</v>
      </c>
      <c r="N34" s="8" t="s">
        <v>170</v>
      </c>
      <c r="O34" s="4">
        <f t="shared" ca="1" si="3"/>
        <v>3</v>
      </c>
    </row>
    <row r="35" spans="1:15">
      <c r="A35" s="16">
        <v>33</v>
      </c>
      <c r="B35" s="4" t="s">
        <v>36</v>
      </c>
      <c r="C35" s="7" t="s">
        <v>130</v>
      </c>
      <c r="D35" s="4">
        <f t="shared" ca="1" si="0"/>
        <v>14</v>
      </c>
      <c r="E35" s="4" t="s">
        <v>148</v>
      </c>
      <c r="F35" s="4">
        <f ca="1">2022-Tabla1[[#This Row],[Columna3]]</f>
        <v>2008</v>
      </c>
      <c r="G35" s="4" t="s">
        <v>69</v>
      </c>
      <c r="H35" s="4">
        <f t="shared" ca="1" si="1"/>
        <v>1</v>
      </c>
      <c r="I35" s="4">
        <f t="shared" ca="1" si="1"/>
        <v>2</v>
      </c>
      <c r="J35" s="4">
        <f t="shared" ca="1" si="1"/>
        <v>1</v>
      </c>
      <c r="K35" s="4" t="s">
        <v>227</v>
      </c>
      <c r="L35" s="4">
        <f t="shared" ca="1" si="2"/>
        <v>42</v>
      </c>
      <c r="M35" s="8">
        <f ca="1">Tabla3[[#This Row],[Columna6]]+1</f>
        <v>43</v>
      </c>
      <c r="N35" s="8" t="s">
        <v>171</v>
      </c>
      <c r="O35" s="4">
        <f t="shared" ca="1" si="3"/>
        <v>2</v>
      </c>
    </row>
    <row r="36" spans="1:15">
      <c r="A36" s="16">
        <v>34</v>
      </c>
      <c r="B36" s="4" t="s">
        <v>37</v>
      </c>
      <c r="C36" s="7" t="s">
        <v>131</v>
      </c>
      <c r="D36" s="4">
        <f t="shared" ca="1" si="0"/>
        <v>29</v>
      </c>
      <c r="E36" s="4" t="s">
        <v>148</v>
      </c>
      <c r="F36" s="4">
        <f ca="1">2022-Tabla1[[#This Row],[Columna3]]</f>
        <v>1993</v>
      </c>
      <c r="G36" s="4" t="s">
        <v>70</v>
      </c>
      <c r="H36" s="4">
        <f t="shared" ca="1" si="1"/>
        <v>5</v>
      </c>
      <c r="I36" s="4">
        <f t="shared" ca="1" si="1"/>
        <v>3</v>
      </c>
      <c r="J36" s="4">
        <f t="shared" ca="1" si="1"/>
        <v>4</v>
      </c>
      <c r="K36" s="4" t="s">
        <v>227</v>
      </c>
      <c r="L36" s="4">
        <f t="shared" ca="1" si="2"/>
        <v>11</v>
      </c>
      <c r="M36" s="8">
        <f ca="1">Tabla3[[#This Row],[Columna6]]+1</f>
        <v>12</v>
      </c>
      <c r="N36" s="8" t="s">
        <v>230</v>
      </c>
      <c r="O36" s="4">
        <f t="shared" ca="1" si="3"/>
        <v>3</v>
      </c>
    </row>
    <row r="37" spans="1:15">
      <c r="A37" s="16">
        <v>35</v>
      </c>
      <c r="B37" s="4" t="s">
        <v>93</v>
      </c>
      <c r="C37" s="7" t="s">
        <v>132</v>
      </c>
      <c r="D37" s="4">
        <f t="shared" ca="1" si="0"/>
        <v>16</v>
      </c>
      <c r="E37" s="4" t="s">
        <v>148</v>
      </c>
      <c r="F37" s="4">
        <f ca="1">2022-Tabla1[[#This Row],[Columna3]]</f>
        <v>2006</v>
      </c>
      <c r="G37" s="4" t="s">
        <v>71</v>
      </c>
      <c r="H37" s="4">
        <f t="shared" ca="1" si="1"/>
        <v>3</v>
      </c>
      <c r="I37" s="4">
        <f t="shared" ca="1" si="1"/>
        <v>2</v>
      </c>
      <c r="J37" s="4">
        <f t="shared" ca="1" si="1"/>
        <v>2</v>
      </c>
      <c r="K37" s="4" t="s">
        <v>227</v>
      </c>
      <c r="L37" s="4">
        <f t="shared" ca="1" si="2"/>
        <v>96</v>
      </c>
      <c r="M37" s="8">
        <f ca="1">Tabla3[[#This Row],[Columna6]]+1</f>
        <v>97</v>
      </c>
      <c r="N37" s="8" t="s">
        <v>172</v>
      </c>
      <c r="O37" s="4">
        <f t="shared" ca="1" si="3"/>
        <v>4</v>
      </c>
    </row>
    <row r="38" spans="1:15">
      <c r="A38" s="16">
        <v>36</v>
      </c>
      <c r="B38" s="4" t="s">
        <v>38</v>
      </c>
      <c r="C38" s="7" t="s">
        <v>133</v>
      </c>
      <c r="D38" s="4">
        <f t="shared" ca="1" si="0"/>
        <v>64</v>
      </c>
      <c r="E38" s="4" t="s">
        <v>148</v>
      </c>
      <c r="F38" s="4">
        <f ca="1">2022-Tabla1[[#This Row],[Columna3]]</f>
        <v>1958</v>
      </c>
      <c r="G38" s="4" t="s">
        <v>72</v>
      </c>
      <c r="H38" s="4">
        <f t="shared" ca="1" si="1"/>
        <v>2</v>
      </c>
      <c r="I38" s="4">
        <f t="shared" ca="1" si="1"/>
        <v>3</v>
      </c>
      <c r="J38" s="4">
        <f t="shared" ca="1" si="1"/>
        <v>2</v>
      </c>
      <c r="K38" s="4" t="s">
        <v>227</v>
      </c>
      <c r="L38" s="4">
        <f t="shared" ca="1" si="2"/>
        <v>1</v>
      </c>
      <c r="M38" s="8">
        <f ca="1">Tabla3[[#This Row],[Columna6]]+1</f>
        <v>2</v>
      </c>
      <c r="N38" s="8" t="s">
        <v>209</v>
      </c>
      <c r="O38" s="4">
        <f t="shared" ca="1" si="3"/>
        <v>3</v>
      </c>
    </row>
    <row r="39" spans="1:15">
      <c r="A39" s="16">
        <v>37</v>
      </c>
      <c r="B39" s="4" t="s">
        <v>39</v>
      </c>
      <c r="C39" s="7" t="s">
        <v>134</v>
      </c>
      <c r="D39" s="4">
        <f t="shared" ca="1" si="0"/>
        <v>9</v>
      </c>
      <c r="E39" s="4" t="s">
        <v>148</v>
      </c>
      <c r="F39" s="4">
        <f ca="1">2022-Tabla1[[#This Row],[Columna3]]</f>
        <v>2013</v>
      </c>
      <c r="G39" s="4" t="s">
        <v>73</v>
      </c>
      <c r="H39" s="4">
        <f t="shared" ca="1" si="1"/>
        <v>3</v>
      </c>
      <c r="I39" s="4">
        <f t="shared" ca="1" si="1"/>
        <v>4</v>
      </c>
      <c r="J39" s="4">
        <f t="shared" ca="1" si="1"/>
        <v>1</v>
      </c>
      <c r="K39" s="4" t="s">
        <v>227</v>
      </c>
      <c r="L39" s="4">
        <f t="shared" ca="1" si="2"/>
        <v>75</v>
      </c>
      <c r="M39" s="8">
        <f ca="1">Tabla3[[#This Row],[Columna6]]+1</f>
        <v>76</v>
      </c>
      <c r="N39" s="8" t="s">
        <v>173</v>
      </c>
      <c r="O39" s="4">
        <f t="shared" ca="1" si="3"/>
        <v>2</v>
      </c>
    </row>
    <row r="40" spans="1:15">
      <c r="A40" s="16">
        <v>38</v>
      </c>
      <c r="B40" s="4" t="s">
        <v>40</v>
      </c>
      <c r="C40" s="7" t="s">
        <v>135</v>
      </c>
      <c r="D40" s="4">
        <f t="shared" ca="1" si="0"/>
        <v>4</v>
      </c>
      <c r="E40" s="4" t="s">
        <v>148</v>
      </c>
      <c r="F40" s="4">
        <f ca="1">2022-Tabla1[[#This Row],[Columna3]]</f>
        <v>2018</v>
      </c>
      <c r="G40" s="4" t="s">
        <v>74</v>
      </c>
      <c r="H40" s="4">
        <f t="shared" ca="1" si="1"/>
        <v>5</v>
      </c>
      <c r="I40" s="4">
        <f t="shared" ca="1" si="1"/>
        <v>4</v>
      </c>
      <c r="J40" s="4">
        <f t="shared" ca="1" si="1"/>
        <v>1</v>
      </c>
      <c r="K40" s="4" t="s">
        <v>227</v>
      </c>
      <c r="L40" s="4">
        <f t="shared" ca="1" si="2"/>
        <v>54</v>
      </c>
      <c r="M40" s="8">
        <f ca="1">Tabla3[[#This Row],[Columna6]]+1</f>
        <v>55</v>
      </c>
      <c r="N40" s="8" t="s">
        <v>174</v>
      </c>
      <c r="O40" s="4">
        <f t="shared" ca="1" si="3"/>
        <v>6</v>
      </c>
    </row>
    <row r="41" spans="1:15">
      <c r="A41" s="16">
        <v>39</v>
      </c>
      <c r="B41" s="4" t="s">
        <v>41</v>
      </c>
      <c r="C41" s="7" t="s">
        <v>136</v>
      </c>
      <c r="D41" s="4">
        <f t="shared" ca="1" si="0"/>
        <v>63</v>
      </c>
      <c r="E41" s="4" t="s">
        <v>148</v>
      </c>
      <c r="F41" s="4">
        <f ca="1">2022-Tabla1[[#This Row],[Columna3]]</f>
        <v>1959</v>
      </c>
      <c r="G41" s="4" t="s">
        <v>75</v>
      </c>
      <c r="H41" s="4">
        <f t="shared" ca="1" si="1"/>
        <v>4</v>
      </c>
      <c r="I41" s="4">
        <f t="shared" ca="1" si="1"/>
        <v>2</v>
      </c>
      <c r="J41" s="4">
        <f t="shared" ca="1" si="1"/>
        <v>4</v>
      </c>
      <c r="K41" s="4" t="s">
        <v>227</v>
      </c>
      <c r="L41" s="4">
        <f t="shared" ca="1" si="2"/>
        <v>96</v>
      </c>
      <c r="M41" s="8">
        <f ca="1">Tabla3[[#This Row],[Columna6]]+1</f>
        <v>97</v>
      </c>
      <c r="N41" s="8" t="s">
        <v>175</v>
      </c>
      <c r="O41" s="4">
        <f t="shared" ca="1" si="3"/>
        <v>6</v>
      </c>
    </row>
    <row r="42" spans="1:15">
      <c r="A42" s="16">
        <v>40</v>
      </c>
      <c r="B42" s="4" t="s">
        <v>42</v>
      </c>
      <c r="C42" s="7" t="s">
        <v>137</v>
      </c>
      <c r="D42" s="4">
        <f t="shared" ca="1" si="0"/>
        <v>31</v>
      </c>
      <c r="E42" s="4" t="s">
        <v>148</v>
      </c>
      <c r="F42" s="4">
        <f ca="1">2022-Tabla1[[#This Row],[Columna3]]</f>
        <v>1991</v>
      </c>
      <c r="G42" s="4" t="s">
        <v>76</v>
      </c>
      <c r="H42" s="4">
        <f t="shared" ca="1" si="1"/>
        <v>3</v>
      </c>
      <c r="I42" s="4">
        <f t="shared" ca="1" si="1"/>
        <v>5</v>
      </c>
      <c r="J42" s="4">
        <f t="shared" ca="1" si="1"/>
        <v>2</v>
      </c>
      <c r="K42" s="4" t="s">
        <v>227</v>
      </c>
      <c r="L42" s="4">
        <f t="shared" ca="1" si="2"/>
        <v>78</v>
      </c>
      <c r="M42" s="8">
        <f ca="1">Tabla3[[#This Row],[Columna6]]+1</f>
        <v>79</v>
      </c>
      <c r="N42" s="8" t="s">
        <v>176</v>
      </c>
      <c r="O42" s="4">
        <f t="shared" ca="1" si="3"/>
        <v>5</v>
      </c>
    </row>
    <row r="43" spans="1:15">
      <c r="A43" s="16">
        <v>41</v>
      </c>
      <c r="B43" s="4" t="s">
        <v>93</v>
      </c>
      <c r="C43" s="7" t="s">
        <v>138</v>
      </c>
      <c r="D43" s="4">
        <f t="shared" ca="1" si="0"/>
        <v>87</v>
      </c>
      <c r="E43" s="4" t="s">
        <v>148</v>
      </c>
      <c r="F43" s="4">
        <f ca="1">2022-Tabla1[[#This Row],[Columna3]]</f>
        <v>1935</v>
      </c>
      <c r="G43" s="4" t="s">
        <v>77</v>
      </c>
      <c r="H43" s="4">
        <f t="shared" ca="1" si="1"/>
        <v>3</v>
      </c>
      <c r="I43" s="4">
        <f t="shared" ca="1" si="1"/>
        <v>1</v>
      </c>
      <c r="J43" s="4">
        <f t="shared" ca="1" si="1"/>
        <v>2</v>
      </c>
      <c r="K43" s="4" t="s">
        <v>227</v>
      </c>
      <c r="L43" s="4">
        <f t="shared" ca="1" si="2"/>
        <v>22</v>
      </c>
      <c r="M43" s="8">
        <f ca="1">Tabla3[[#This Row],[Columna6]]+1</f>
        <v>23</v>
      </c>
      <c r="N43" s="8" t="s">
        <v>177</v>
      </c>
      <c r="O43" s="4">
        <f t="shared" ca="1" si="3"/>
        <v>6</v>
      </c>
    </row>
    <row r="44" spans="1:15">
      <c r="A44" s="16">
        <v>42</v>
      </c>
      <c r="B44" s="4" t="s">
        <v>43</v>
      </c>
      <c r="C44" s="7" t="s">
        <v>139</v>
      </c>
      <c r="D44" s="4">
        <f t="shared" ca="1" si="0"/>
        <v>3</v>
      </c>
      <c r="E44" s="4" t="s">
        <v>148</v>
      </c>
      <c r="F44" s="4">
        <f ca="1">2022-Tabla1[[#This Row],[Columna3]]</f>
        <v>2019</v>
      </c>
      <c r="G44" s="4" t="s">
        <v>78</v>
      </c>
      <c r="H44" s="4">
        <f t="shared" ca="1" si="1"/>
        <v>2</v>
      </c>
      <c r="I44" s="4">
        <f t="shared" ca="1" si="1"/>
        <v>2</v>
      </c>
      <c r="J44" s="4">
        <f t="shared" ca="1" si="1"/>
        <v>1</v>
      </c>
      <c r="K44" s="4" t="s">
        <v>227</v>
      </c>
      <c r="L44" s="4">
        <f t="shared" ca="1" si="2"/>
        <v>83</v>
      </c>
      <c r="M44" s="8">
        <f ca="1">Tabla3[[#This Row],[Columna6]]+1</f>
        <v>84</v>
      </c>
      <c r="N44" s="8" t="s">
        <v>178</v>
      </c>
      <c r="O44" s="4">
        <f t="shared" ca="1" si="3"/>
        <v>2</v>
      </c>
    </row>
    <row r="45" spans="1:15">
      <c r="A45" s="16">
        <v>43</v>
      </c>
      <c r="B45" s="4" t="s">
        <v>44</v>
      </c>
      <c r="C45" s="7" t="s">
        <v>140</v>
      </c>
      <c r="D45" s="4">
        <f t="shared" ca="1" si="0"/>
        <v>23</v>
      </c>
      <c r="E45" s="4" t="s">
        <v>148</v>
      </c>
      <c r="F45" s="4">
        <f ca="1">2022-Tabla1[[#This Row],[Columna3]]</f>
        <v>1999</v>
      </c>
      <c r="G45" s="4" t="s">
        <v>79</v>
      </c>
      <c r="H45" s="4">
        <f t="shared" ca="1" si="1"/>
        <v>1</v>
      </c>
      <c r="I45" s="4">
        <f t="shared" ca="1" si="1"/>
        <v>1</v>
      </c>
      <c r="J45" s="4">
        <f t="shared" ca="1" si="1"/>
        <v>2</v>
      </c>
      <c r="K45" s="4" t="s">
        <v>227</v>
      </c>
      <c r="L45" s="4">
        <f t="shared" ca="1" si="2"/>
        <v>17</v>
      </c>
      <c r="M45" s="8">
        <f ca="1">Tabla3[[#This Row],[Columna6]]+1</f>
        <v>18</v>
      </c>
      <c r="N45" s="8" t="s">
        <v>179</v>
      </c>
      <c r="O45" s="4">
        <f t="shared" ca="1" si="3"/>
        <v>4</v>
      </c>
    </row>
    <row r="46" spans="1:15">
      <c r="A46" s="16">
        <v>44</v>
      </c>
      <c r="B46" s="4" t="s">
        <v>45</v>
      </c>
      <c r="C46" s="7" t="s">
        <v>141</v>
      </c>
      <c r="D46" s="4">
        <f t="shared" ca="1" si="0"/>
        <v>22</v>
      </c>
      <c r="E46" s="4" t="s">
        <v>148</v>
      </c>
      <c r="F46" s="4">
        <f ca="1">2022-Tabla1[[#This Row],[Columna3]]</f>
        <v>2000</v>
      </c>
      <c r="G46" s="4" t="s">
        <v>80</v>
      </c>
      <c r="H46" s="4">
        <f t="shared" ca="1" si="1"/>
        <v>1</v>
      </c>
      <c r="I46" s="4">
        <f t="shared" ca="1" si="1"/>
        <v>3</v>
      </c>
      <c r="J46" s="4">
        <f t="shared" ca="1" si="1"/>
        <v>2</v>
      </c>
      <c r="K46" s="4" t="s">
        <v>227</v>
      </c>
      <c r="L46" s="4">
        <f t="shared" ca="1" si="2"/>
        <v>75</v>
      </c>
      <c r="M46" s="8">
        <f ca="1">Tabla3[[#This Row],[Columna6]]+1</f>
        <v>76</v>
      </c>
      <c r="N46" s="8" t="s">
        <v>180</v>
      </c>
      <c r="O46" s="4">
        <f t="shared" ca="1" si="3"/>
        <v>2</v>
      </c>
    </row>
    <row r="47" spans="1:15">
      <c r="A47" s="16">
        <v>45</v>
      </c>
      <c r="B47" s="4" t="s">
        <v>46</v>
      </c>
      <c r="C47" s="7" t="s">
        <v>142</v>
      </c>
      <c r="D47" s="4">
        <f t="shared" ca="1" si="0"/>
        <v>61</v>
      </c>
      <c r="E47" s="4" t="s">
        <v>148</v>
      </c>
      <c r="F47" s="4">
        <f ca="1">2022-Tabla1[[#This Row],[Columna3]]</f>
        <v>1961</v>
      </c>
      <c r="G47" s="4" t="s">
        <v>81</v>
      </c>
      <c r="H47" s="4">
        <f t="shared" ca="1" si="1"/>
        <v>2</v>
      </c>
      <c r="I47" s="4">
        <f t="shared" ca="1" si="1"/>
        <v>3</v>
      </c>
      <c r="J47" s="4">
        <f t="shared" ca="1" si="1"/>
        <v>2</v>
      </c>
      <c r="K47" s="4" t="s">
        <v>227</v>
      </c>
      <c r="L47" s="4">
        <f t="shared" ca="1" si="2"/>
        <v>26</v>
      </c>
      <c r="M47" s="8">
        <f ca="1">Tabla3[[#This Row],[Columna6]]+1</f>
        <v>27</v>
      </c>
      <c r="N47" s="8" t="s">
        <v>181</v>
      </c>
      <c r="O47" s="4">
        <f t="shared" ca="1" si="3"/>
        <v>6</v>
      </c>
    </row>
    <row r="48" spans="1:15">
      <c r="A48" s="16">
        <v>46</v>
      </c>
      <c r="B48" s="4" t="s">
        <v>47</v>
      </c>
      <c r="C48" s="7" t="s">
        <v>143</v>
      </c>
      <c r="D48" s="4">
        <f t="shared" ca="1" si="0"/>
        <v>85</v>
      </c>
      <c r="E48" s="4" t="s">
        <v>148</v>
      </c>
      <c r="F48" s="4">
        <f ca="1">2022-Tabla1[[#This Row],[Columna3]]</f>
        <v>1937</v>
      </c>
      <c r="G48" s="4" t="s">
        <v>93</v>
      </c>
      <c r="H48" s="4">
        <f t="shared" ca="1" si="1"/>
        <v>1</v>
      </c>
      <c r="I48" s="4">
        <f t="shared" ca="1" si="1"/>
        <v>3</v>
      </c>
      <c r="J48" s="4">
        <f t="shared" ca="1" si="1"/>
        <v>2</v>
      </c>
      <c r="K48" s="4" t="s">
        <v>227</v>
      </c>
      <c r="L48" s="4">
        <f t="shared" ca="1" si="2"/>
        <v>32</v>
      </c>
      <c r="M48" s="8">
        <f ca="1">Tabla3[[#This Row],[Columna6]]+1</f>
        <v>33</v>
      </c>
      <c r="N48" s="8" t="s">
        <v>182</v>
      </c>
      <c r="O48" s="4">
        <f t="shared" ca="1" si="3"/>
        <v>4</v>
      </c>
    </row>
    <row r="49" spans="1:15">
      <c r="A49" s="16">
        <v>47</v>
      </c>
      <c r="B49" s="4" t="s">
        <v>48</v>
      </c>
      <c r="C49" s="7" t="s">
        <v>144</v>
      </c>
      <c r="D49" s="4">
        <f t="shared" ca="1" si="0"/>
        <v>75</v>
      </c>
      <c r="E49" s="4" t="s">
        <v>148</v>
      </c>
      <c r="F49" s="4">
        <f ca="1">2022-Tabla1[[#This Row],[Columna3]]</f>
        <v>1947</v>
      </c>
      <c r="G49" s="4" t="s">
        <v>94</v>
      </c>
      <c r="H49" s="4">
        <f t="shared" ca="1" si="1"/>
        <v>2</v>
      </c>
      <c r="I49" s="4">
        <f t="shared" ca="1" si="1"/>
        <v>1</v>
      </c>
      <c r="J49" s="4">
        <f t="shared" ca="1" si="1"/>
        <v>3</v>
      </c>
      <c r="K49" s="4" t="s">
        <v>227</v>
      </c>
      <c r="L49" s="4">
        <f t="shared" ca="1" si="2"/>
        <v>16</v>
      </c>
      <c r="M49" s="8">
        <f ca="1">Tabla3[[#This Row],[Columna6]]+1</f>
        <v>17</v>
      </c>
      <c r="N49" s="8" t="s">
        <v>183</v>
      </c>
      <c r="O49" s="4">
        <f t="shared" ca="1" si="3"/>
        <v>6</v>
      </c>
    </row>
    <row r="50" spans="1:15">
      <c r="A50" s="16">
        <v>48</v>
      </c>
      <c r="B50" s="4" t="s">
        <v>49</v>
      </c>
      <c r="C50" s="7" t="s">
        <v>145</v>
      </c>
      <c r="D50" s="4">
        <f t="shared" ca="1" si="0"/>
        <v>89</v>
      </c>
      <c r="E50" s="4" t="s">
        <v>148</v>
      </c>
      <c r="F50" s="4">
        <f ca="1">2022-Tabla1[[#This Row],[Columna3]]</f>
        <v>1933</v>
      </c>
      <c r="G50" s="4" t="s">
        <v>82</v>
      </c>
      <c r="H50" s="4">
        <f t="shared" ca="1" si="1"/>
        <v>1</v>
      </c>
      <c r="I50" s="4">
        <f t="shared" ca="1" si="1"/>
        <v>3</v>
      </c>
      <c r="J50" s="4">
        <f t="shared" ca="1" si="1"/>
        <v>1</v>
      </c>
      <c r="K50" s="4" t="s">
        <v>227</v>
      </c>
      <c r="L50" s="4">
        <f t="shared" ca="1" si="2"/>
        <v>49</v>
      </c>
      <c r="M50" s="8">
        <f ca="1">Tabla3[[#This Row],[Columna6]]+1</f>
        <v>50</v>
      </c>
      <c r="N50" s="8" t="s">
        <v>184</v>
      </c>
      <c r="O50" s="4">
        <f t="shared" ca="1" si="3"/>
        <v>4</v>
      </c>
    </row>
    <row r="51" spans="1:15">
      <c r="A51" s="16">
        <v>49</v>
      </c>
      <c r="B51" s="4" t="s">
        <v>50</v>
      </c>
      <c r="C51" s="7" t="s">
        <v>146</v>
      </c>
      <c r="D51" s="4">
        <f t="shared" ca="1" si="0"/>
        <v>86</v>
      </c>
      <c r="E51" s="4" t="s">
        <v>148</v>
      </c>
      <c r="F51" s="4">
        <f ca="1">2022-Tabla1[[#This Row],[Columna3]]</f>
        <v>1936</v>
      </c>
      <c r="G51" s="4" t="s">
        <v>83</v>
      </c>
      <c r="H51" s="4">
        <f t="shared" ca="1" si="1"/>
        <v>5</v>
      </c>
      <c r="I51" s="4">
        <f t="shared" ca="1" si="1"/>
        <v>2</v>
      </c>
      <c r="J51" s="4">
        <f t="shared" ca="1" si="1"/>
        <v>5</v>
      </c>
      <c r="K51" s="4" t="s">
        <v>227</v>
      </c>
      <c r="L51" s="4">
        <f t="shared" ca="1" si="2"/>
        <v>32</v>
      </c>
      <c r="M51" s="8">
        <f ca="1">Tabla3[[#This Row],[Columna6]]+1</f>
        <v>33</v>
      </c>
      <c r="N51" s="8" t="s">
        <v>185</v>
      </c>
      <c r="O51" s="4">
        <f t="shared" ca="1" si="3"/>
        <v>3</v>
      </c>
    </row>
    <row r="52" spans="1:15">
      <c r="A52" s="16">
        <v>50</v>
      </c>
      <c r="B52" s="4" t="s">
        <v>97</v>
      </c>
      <c r="C52" s="7" t="s">
        <v>147</v>
      </c>
      <c r="D52" s="4">
        <f t="shared" ca="1" si="0"/>
        <v>64</v>
      </c>
      <c r="E52" s="4" t="s">
        <v>148</v>
      </c>
      <c r="F52" s="4">
        <f ca="1">2022-Tabla1[[#This Row],[Columna3]]</f>
        <v>1958</v>
      </c>
      <c r="G52" s="4" t="s">
        <v>84</v>
      </c>
      <c r="H52" s="4">
        <f t="shared" ca="1" si="1"/>
        <v>4</v>
      </c>
      <c r="I52" s="4">
        <f t="shared" ca="1" si="1"/>
        <v>5</v>
      </c>
      <c r="J52" s="4">
        <f t="shared" ca="1" si="1"/>
        <v>5</v>
      </c>
      <c r="K52" s="4" t="s">
        <v>227</v>
      </c>
      <c r="L52" s="4">
        <f t="shared" ca="1" si="2"/>
        <v>25</v>
      </c>
      <c r="M52" s="8">
        <f ca="1">Tabla3[[#This Row],[Columna6]]+1</f>
        <v>26</v>
      </c>
      <c r="N52" s="8" t="s">
        <v>186</v>
      </c>
      <c r="O52" s="4">
        <f t="shared" ca="1" si="3"/>
        <v>3</v>
      </c>
    </row>
    <row r="53" spans="1:15">
      <c r="A53" s="16">
        <v>51</v>
      </c>
      <c r="B53" s="4" t="s">
        <v>51</v>
      </c>
      <c r="C53" s="7" t="s">
        <v>119</v>
      </c>
      <c r="D53" s="4">
        <f t="shared" ca="1" si="0"/>
        <v>82</v>
      </c>
      <c r="E53" s="4" t="s">
        <v>148</v>
      </c>
      <c r="F53" s="4">
        <f ca="1">2022-Tabla1[[#This Row],[Columna3]]</f>
        <v>1940</v>
      </c>
      <c r="G53" s="4" t="s">
        <v>85</v>
      </c>
      <c r="H53" s="4">
        <f t="shared" ca="1" si="1"/>
        <v>1</v>
      </c>
      <c r="I53" s="4">
        <f t="shared" ca="1" si="1"/>
        <v>1</v>
      </c>
      <c r="J53" s="4">
        <f t="shared" ca="1" si="1"/>
        <v>1</v>
      </c>
      <c r="K53" s="4" t="s">
        <v>227</v>
      </c>
      <c r="L53" s="4">
        <f t="shared" ca="1" si="2"/>
        <v>55</v>
      </c>
      <c r="M53" s="8">
        <f ca="1">Tabla3[[#This Row],[Columna6]]+1</f>
        <v>56</v>
      </c>
      <c r="N53" s="8" t="s">
        <v>187</v>
      </c>
      <c r="O53" s="4">
        <f t="shared" ca="1" si="3"/>
        <v>2</v>
      </c>
    </row>
    <row r="54" spans="1:15">
      <c r="A54" s="16">
        <v>52</v>
      </c>
      <c r="B54" s="4" t="s">
        <v>52</v>
      </c>
      <c r="C54" s="7" t="s">
        <v>64</v>
      </c>
      <c r="D54" s="4">
        <f t="shared" ca="1" si="0"/>
        <v>49</v>
      </c>
      <c r="E54" s="4" t="s">
        <v>148</v>
      </c>
      <c r="F54" s="4">
        <f ca="1">2022-Tabla1[[#This Row],[Columna3]]</f>
        <v>1973</v>
      </c>
      <c r="G54" s="4" t="s">
        <v>86</v>
      </c>
      <c r="H54" s="4">
        <f t="shared" ca="1" si="1"/>
        <v>5</v>
      </c>
      <c r="I54" s="4">
        <f t="shared" ca="1" si="1"/>
        <v>1</v>
      </c>
      <c r="J54" s="4">
        <f t="shared" ca="1" si="1"/>
        <v>3</v>
      </c>
      <c r="K54" s="4" t="s">
        <v>227</v>
      </c>
      <c r="L54" s="4">
        <f t="shared" ca="1" si="2"/>
        <v>20</v>
      </c>
      <c r="M54" s="8">
        <f ca="1">Tabla3[[#This Row],[Columna6]]+1</f>
        <v>21</v>
      </c>
      <c r="N54" s="8" t="s">
        <v>188</v>
      </c>
      <c r="O54" s="4">
        <f t="shared" ca="1" si="3"/>
        <v>5</v>
      </c>
    </row>
    <row r="55" spans="1:15">
      <c r="A55" s="16">
        <v>53</v>
      </c>
      <c r="B55" s="4" t="s">
        <v>53</v>
      </c>
      <c r="C55" s="7" t="s">
        <v>120</v>
      </c>
      <c r="D55" s="4">
        <f t="shared" ca="1" si="0"/>
        <v>28</v>
      </c>
      <c r="E55" s="4" t="s">
        <v>148</v>
      </c>
      <c r="F55" s="4">
        <f ca="1">2022-Tabla1[[#This Row],[Columna3]]</f>
        <v>1994</v>
      </c>
      <c r="G55" s="4" t="s">
        <v>87</v>
      </c>
      <c r="H55" s="4">
        <f t="shared" ca="1" si="1"/>
        <v>2</v>
      </c>
      <c r="I55" s="4">
        <f t="shared" ca="1" si="1"/>
        <v>3</v>
      </c>
      <c r="J55" s="4">
        <f t="shared" ca="1" si="1"/>
        <v>3</v>
      </c>
      <c r="K55" s="4" t="s">
        <v>227</v>
      </c>
      <c r="L55" s="4">
        <f t="shared" ca="1" si="2"/>
        <v>79</v>
      </c>
      <c r="M55" s="8">
        <f ca="1">Tabla3[[#This Row],[Columna6]]+1</f>
        <v>80</v>
      </c>
      <c r="N55" s="8" t="s">
        <v>189</v>
      </c>
      <c r="O55" s="4">
        <f t="shared" ca="1" si="3"/>
        <v>2</v>
      </c>
    </row>
    <row r="56" spans="1:15">
      <c r="A56" s="16">
        <v>54</v>
      </c>
      <c r="B56" s="4" t="s">
        <v>54</v>
      </c>
      <c r="C56" s="7" t="s">
        <v>121</v>
      </c>
      <c r="D56" s="4">
        <f t="shared" ca="1" si="0"/>
        <v>44</v>
      </c>
      <c r="E56" s="4" t="s">
        <v>148</v>
      </c>
      <c r="F56" s="4">
        <f ca="1">2022-Tabla1[[#This Row],[Columna3]]</f>
        <v>1978</v>
      </c>
      <c r="G56" s="4" t="s">
        <v>88</v>
      </c>
      <c r="H56" s="4">
        <f t="shared" ca="1" si="1"/>
        <v>3</v>
      </c>
      <c r="I56" s="4">
        <f t="shared" ca="1" si="1"/>
        <v>5</v>
      </c>
      <c r="J56" s="4">
        <f t="shared" ca="1" si="1"/>
        <v>1</v>
      </c>
      <c r="K56" s="4" t="s">
        <v>227</v>
      </c>
      <c r="L56" s="4">
        <f t="shared" ca="1" si="2"/>
        <v>26</v>
      </c>
      <c r="M56" s="8">
        <f ca="1">Tabla3[[#This Row],[Columna6]]+1</f>
        <v>27</v>
      </c>
      <c r="N56" s="8" t="s">
        <v>190</v>
      </c>
      <c r="O56" s="4">
        <f t="shared" ca="1" si="3"/>
        <v>4</v>
      </c>
    </row>
    <row r="57" spans="1:15">
      <c r="A57" s="16">
        <v>55</v>
      </c>
      <c r="B57" s="4" t="s">
        <v>55</v>
      </c>
      <c r="C57" s="7" t="s">
        <v>122</v>
      </c>
      <c r="D57" s="4">
        <f t="shared" ca="1" si="0"/>
        <v>5</v>
      </c>
      <c r="E57" s="4" t="s">
        <v>148</v>
      </c>
      <c r="F57" s="4">
        <f ca="1">2022-Tabla1[[#This Row],[Columna3]]</f>
        <v>2017</v>
      </c>
      <c r="G57" s="4" t="s">
        <v>94</v>
      </c>
      <c r="H57" s="4">
        <f t="shared" ca="1" si="1"/>
        <v>1</v>
      </c>
      <c r="I57" s="4">
        <f t="shared" ca="1" si="1"/>
        <v>2</v>
      </c>
      <c r="J57" s="4">
        <f t="shared" ca="1" si="1"/>
        <v>3</v>
      </c>
      <c r="K57" s="4" t="s">
        <v>232</v>
      </c>
      <c r="L57" s="4">
        <f t="shared" ca="1" si="2"/>
        <v>94</v>
      </c>
      <c r="M57" s="8">
        <f ca="1">Tabla3[[#This Row],[Columna6]]+1</f>
        <v>95</v>
      </c>
      <c r="N57" s="8" t="s">
        <v>191</v>
      </c>
      <c r="O57" s="4">
        <f t="shared" ca="1" si="3"/>
        <v>5</v>
      </c>
    </row>
    <row r="58" spans="1:15">
      <c r="A58" s="16">
        <v>56</v>
      </c>
      <c r="B58" s="4" t="s">
        <v>56</v>
      </c>
      <c r="C58" s="7" t="s">
        <v>123</v>
      </c>
      <c r="D58" s="4">
        <f t="shared" ca="1" si="0"/>
        <v>3</v>
      </c>
      <c r="E58" s="4" t="s">
        <v>148</v>
      </c>
      <c r="F58" s="4">
        <f ca="1">2022-Tabla1[[#This Row],[Columna3]]</f>
        <v>2019</v>
      </c>
      <c r="G58" s="4" t="s">
        <v>89</v>
      </c>
      <c r="H58" s="4">
        <f t="shared" ca="1" si="1"/>
        <v>5</v>
      </c>
      <c r="I58" s="4">
        <f t="shared" ca="1" si="1"/>
        <v>2</v>
      </c>
      <c r="J58" s="4">
        <f t="shared" ca="1" si="1"/>
        <v>1</v>
      </c>
      <c r="K58" s="4" t="s">
        <v>232</v>
      </c>
      <c r="L58" s="4">
        <f t="shared" ca="1" si="2"/>
        <v>18</v>
      </c>
      <c r="M58" s="8">
        <f ca="1">Tabla3[[#This Row],[Columna6]]+1</f>
        <v>19</v>
      </c>
      <c r="N58" s="8" t="s">
        <v>192</v>
      </c>
      <c r="O58" s="4">
        <f t="shared" ca="1" si="3"/>
        <v>2</v>
      </c>
    </row>
    <row r="59" spans="1:15">
      <c r="A59" s="16">
        <v>57</v>
      </c>
      <c r="B59" s="4" t="s">
        <v>57</v>
      </c>
      <c r="C59" s="7" t="s">
        <v>124</v>
      </c>
      <c r="D59" s="4">
        <f t="shared" ca="1" si="0"/>
        <v>58</v>
      </c>
      <c r="E59" s="4" t="s">
        <v>148</v>
      </c>
      <c r="F59" s="4">
        <f ca="1">2022-Tabla1[[#This Row],[Columna3]]</f>
        <v>1964</v>
      </c>
      <c r="G59" s="4" t="s">
        <v>95</v>
      </c>
      <c r="H59" s="4">
        <f t="shared" ca="1" si="1"/>
        <v>1</v>
      </c>
      <c r="I59" s="4">
        <f t="shared" ca="1" si="1"/>
        <v>1</v>
      </c>
      <c r="J59" s="4">
        <f t="shared" ca="1" si="1"/>
        <v>3</v>
      </c>
      <c r="K59" s="4" t="s">
        <v>232</v>
      </c>
      <c r="L59" s="4">
        <f t="shared" ca="1" si="2"/>
        <v>83</v>
      </c>
      <c r="M59" s="8">
        <f ca="1">Tabla3[[#This Row],[Columna6]]+1</f>
        <v>84</v>
      </c>
      <c r="N59" s="8" t="s">
        <v>193</v>
      </c>
      <c r="O59" s="4">
        <f t="shared" ca="1" si="3"/>
        <v>4</v>
      </c>
    </row>
    <row r="60" spans="1:15">
      <c r="A60" s="16">
        <v>58</v>
      </c>
      <c r="B60" s="4" t="s">
        <v>58</v>
      </c>
      <c r="C60" s="7" t="s">
        <v>125</v>
      </c>
      <c r="D60" s="4">
        <f t="shared" ca="1" si="0"/>
        <v>61</v>
      </c>
      <c r="E60" s="4" t="s">
        <v>148</v>
      </c>
      <c r="F60" s="4">
        <f ca="1">2022-Tabla1[[#This Row],[Columna3]]</f>
        <v>1961</v>
      </c>
      <c r="G60" s="4" t="s">
        <v>90</v>
      </c>
      <c r="H60" s="4">
        <f t="shared" ca="1" si="1"/>
        <v>2</v>
      </c>
      <c r="I60" s="4">
        <f t="shared" ca="1" si="1"/>
        <v>5</v>
      </c>
      <c r="J60" s="4">
        <f t="shared" ca="1" si="1"/>
        <v>3</v>
      </c>
      <c r="K60" s="4" t="s">
        <v>232</v>
      </c>
      <c r="L60" s="4">
        <f t="shared" ca="1" si="2"/>
        <v>87</v>
      </c>
      <c r="M60" s="8">
        <f ca="1">Tabla3[[#This Row],[Columna6]]+1</f>
        <v>88</v>
      </c>
      <c r="N60" s="8" t="s">
        <v>194</v>
      </c>
      <c r="O60" s="4">
        <f t="shared" ca="1" si="3"/>
        <v>6</v>
      </c>
    </row>
    <row r="61" spans="1:15">
      <c r="A61" s="16">
        <v>59</v>
      </c>
      <c r="B61" s="4" t="s">
        <v>59</v>
      </c>
      <c r="C61" s="7" t="s">
        <v>126</v>
      </c>
      <c r="D61" s="4">
        <f t="shared" ca="1" si="0"/>
        <v>99</v>
      </c>
      <c r="E61" s="4" t="s">
        <v>148</v>
      </c>
      <c r="F61" s="4">
        <f ca="1">2022-Tabla1[[#This Row],[Columna3]]</f>
        <v>1923</v>
      </c>
      <c r="G61" s="4" t="s">
        <v>94</v>
      </c>
      <c r="H61" s="4">
        <f t="shared" ca="1" si="1"/>
        <v>2</v>
      </c>
      <c r="I61" s="4">
        <f t="shared" ca="1" si="1"/>
        <v>1</v>
      </c>
      <c r="J61" s="4">
        <f t="shared" ca="1" si="1"/>
        <v>4</v>
      </c>
      <c r="K61" s="4" t="s">
        <v>232</v>
      </c>
      <c r="L61" s="4">
        <f t="shared" ca="1" si="2"/>
        <v>100</v>
      </c>
      <c r="M61" s="8">
        <f ca="1">Tabla3[[#This Row],[Columna6]]+1</f>
        <v>101</v>
      </c>
      <c r="N61" s="8" t="s">
        <v>195</v>
      </c>
      <c r="O61" s="4">
        <f t="shared" ca="1" si="3"/>
        <v>3</v>
      </c>
    </row>
    <row r="62" spans="1:15">
      <c r="A62" s="16">
        <v>60</v>
      </c>
      <c r="B62" s="4" t="s">
        <v>60</v>
      </c>
      <c r="C62" s="7" t="s">
        <v>127</v>
      </c>
      <c r="D62" s="4">
        <f t="shared" ca="1" si="0"/>
        <v>70</v>
      </c>
      <c r="E62" s="4" t="s">
        <v>148</v>
      </c>
      <c r="F62" s="4">
        <f ca="1">2022-Tabla1[[#This Row],[Columna3]]</f>
        <v>1952</v>
      </c>
      <c r="G62" s="4" t="s">
        <v>96</v>
      </c>
      <c r="H62" s="4">
        <f t="shared" ca="1" si="1"/>
        <v>5</v>
      </c>
      <c r="I62" s="4">
        <f t="shared" ca="1" si="1"/>
        <v>1</v>
      </c>
      <c r="J62" s="4">
        <f t="shared" ca="1" si="1"/>
        <v>1</v>
      </c>
      <c r="K62" s="4" t="s">
        <v>232</v>
      </c>
      <c r="L62" s="4">
        <f t="shared" ca="1" si="2"/>
        <v>64</v>
      </c>
      <c r="M62" s="8">
        <f ca="1">Tabla3[[#This Row],[Columna6]]+1</f>
        <v>65</v>
      </c>
      <c r="N62" s="8" t="s">
        <v>196</v>
      </c>
      <c r="O62" s="4">
        <f t="shared" ca="1" si="3"/>
        <v>2</v>
      </c>
    </row>
    <row r="63" spans="1:15">
      <c r="A63" s="16">
        <v>61</v>
      </c>
      <c r="B63" s="4" t="s">
        <v>61</v>
      </c>
      <c r="C63" s="7" t="s">
        <v>128</v>
      </c>
      <c r="D63" s="4">
        <f t="shared" ca="1" si="0"/>
        <v>60</v>
      </c>
      <c r="E63" s="4" t="s">
        <v>148</v>
      </c>
      <c r="F63" s="4">
        <f ca="1">2022-Tabla1[[#This Row],[Columna3]]</f>
        <v>1962</v>
      </c>
      <c r="G63" s="4" t="s">
        <v>94</v>
      </c>
      <c r="H63" s="4">
        <f t="shared" ca="1" si="1"/>
        <v>4</v>
      </c>
      <c r="I63" s="4">
        <f t="shared" ca="1" si="1"/>
        <v>3</v>
      </c>
      <c r="J63" s="4">
        <f t="shared" ca="1" si="1"/>
        <v>5</v>
      </c>
      <c r="K63" s="4" t="s">
        <v>232</v>
      </c>
      <c r="L63" s="4">
        <f t="shared" ca="1" si="2"/>
        <v>46</v>
      </c>
      <c r="M63" s="8">
        <f ca="1">Tabla3[[#This Row],[Columna6]]+1</f>
        <v>47</v>
      </c>
      <c r="N63" s="8" t="s">
        <v>197</v>
      </c>
      <c r="O63" s="4">
        <f t="shared" ca="1" si="3"/>
        <v>4</v>
      </c>
    </row>
    <row r="64" spans="1:15">
      <c r="A64" s="16">
        <v>62</v>
      </c>
      <c r="B64" s="4" t="s">
        <v>62</v>
      </c>
      <c r="C64" s="7" t="s">
        <v>129</v>
      </c>
      <c r="D64" s="4">
        <f t="shared" ca="1" si="0"/>
        <v>26</v>
      </c>
      <c r="E64" s="4" t="s">
        <v>148</v>
      </c>
      <c r="F64" s="4">
        <f ca="1">2022-Tabla1[[#This Row],[Columna3]]</f>
        <v>1996</v>
      </c>
      <c r="G64" s="4" t="s">
        <v>91</v>
      </c>
      <c r="H64" s="4">
        <f t="shared" ca="1" si="1"/>
        <v>3</v>
      </c>
      <c r="I64" s="4">
        <f t="shared" ca="1" si="1"/>
        <v>4</v>
      </c>
      <c r="J64" s="4">
        <f t="shared" ca="1" si="1"/>
        <v>2</v>
      </c>
      <c r="K64" s="4" t="s">
        <v>232</v>
      </c>
      <c r="L64" s="4">
        <f t="shared" ca="1" si="2"/>
        <v>42</v>
      </c>
      <c r="M64" s="8">
        <f ca="1">Tabla3[[#This Row],[Columna6]]+1</f>
        <v>43</v>
      </c>
      <c r="N64" s="8" t="s">
        <v>198</v>
      </c>
      <c r="O64" s="4">
        <f t="shared" ca="1" si="3"/>
        <v>6</v>
      </c>
    </row>
    <row r="65" spans="1:15">
      <c r="A65" s="16">
        <v>63</v>
      </c>
      <c r="B65" s="4" t="s">
        <v>63</v>
      </c>
      <c r="C65" s="7" t="s">
        <v>130</v>
      </c>
      <c r="D65" s="4">
        <f t="shared" ca="1" si="0"/>
        <v>6</v>
      </c>
      <c r="E65" s="4" t="s">
        <v>148</v>
      </c>
      <c r="F65" s="4">
        <f ca="1">2022-Tabla1[[#This Row],[Columna3]]</f>
        <v>2016</v>
      </c>
      <c r="G65" s="4" t="s">
        <v>16</v>
      </c>
      <c r="H65" s="4">
        <f t="shared" ca="1" si="1"/>
        <v>1</v>
      </c>
      <c r="I65" s="4">
        <f t="shared" ca="1" si="1"/>
        <v>4</v>
      </c>
      <c r="J65" s="4">
        <f t="shared" ca="1" si="1"/>
        <v>3</v>
      </c>
      <c r="K65" s="4" t="s">
        <v>232</v>
      </c>
      <c r="L65" s="4">
        <f t="shared" ca="1" si="2"/>
        <v>43</v>
      </c>
      <c r="M65" s="8">
        <f ca="1">Tabla3[[#This Row],[Columna6]]+1</f>
        <v>44</v>
      </c>
      <c r="N65" s="8" t="s">
        <v>199</v>
      </c>
      <c r="O65" s="4">
        <f t="shared" ca="1" si="3"/>
        <v>6</v>
      </c>
    </row>
    <row r="66" spans="1:15">
      <c r="A66" s="16">
        <v>64</v>
      </c>
      <c r="B66" s="4" t="s">
        <v>64</v>
      </c>
      <c r="C66" s="7" t="s">
        <v>131</v>
      </c>
      <c r="D66" s="4">
        <f t="shared" ca="1" si="0"/>
        <v>65</v>
      </c>
      <c r="E66" s="4" t="s">
        <v>148</v>
      </c>
      <c r="F66" s="4">
        <f ca="1">2022-Tabla1[[#This Row],[Columna3]]</f>
        <v>1957</v>
      </c>
      <c r="G66" s="4" t="s">
        <v>92</v>
      </c>
      <c r="H66" s="4">
        <f t="shared" ca="1" si="1"/>
        <v>5</v>
      </c>
      <c r="I66" s="4">
        <f t="shared" ca="1" si="1"/>
        <v>1</v>
      </c>
      <c r="J66" s="4">
        <f t="shared" ca="1" si="1"/>
        <v>2</v>
      </c>
      <c r="K66" s="4" t="s">
        <v>232</v>
      </c>
      <c r="L66" s="4">
        <f t="shared" ca="1" si="2"/>
        <v>2</v>
      </c>
      <c r="M66" s="8">
        <f ca="1">Tabla3[[#This Row],[Columna6]]+1</f>
        <v>3</v>
      </c>
      <c r="N66" s="8" t="s">
        <v>200</v>
      </c>
      <c r="O66" s="4">
        <f t="shared" ca="1" si="3"/>
        <v>3</v>
      </c>
    </row>
    <row r="67" spans="1:15">
      <c r="A67" s="16">
        <v>65</v>
      </c>
      <c r="B67" s="4" t="s">
        <v>65</v>
      </c>
      <c r="C67" s="7" t="s">
        <v>132</v>
      </c>
      <c r="D67" s="4">
        <f t="shared" ca="1" si="0"/>
        <v>61</v>
      </c>
      <c r="E67" s="4" t="s">
        <v>148</v>
      </c>
      <c r="F67" s="4">
        <f ca="1">2022-Tabla1[[#This Row],[Columna3]]</f>
        <v>1961</v>
      </c>
      <c r="G67" s="4" t="s">
        <v>56</v>
      </c>
      <c r="H67" s="4">
        <f t="shared" ca="1" si="1"/>
        <v>5</v>
      </c>
      <c r="I67" s="4">
        <f t="shared" ca="1" si="1"/>
        <v>3</v>
      </c>
      <c r="J67" s="4">
        <f t="shared" ca="1" si="1"/>
        <v>4</v>
      </c>
      <c r="K67" s="4" t="s">
        <v>232</v>
      </c>
      <c r="L67" s="4">
        <f t="shared" ca="1" si="2"/>
        <v>12</v>
      </c>
      <c r="M67" s="8">
        <f ca="1">Tabla3[[#This Row],[Columna6]]+1</f>
        <v>13</v>
      </c>
      <c r="N67" s="8" t="s">
        <v>208</v>
      </c>
      <c r="O67" s="4">
        <f t="shared" ca="1" si="3"/>
        <v>4</v>
      </c>
    </row>
    <row r="68" spans="1:15">
      <c r="A68" s="16">
        <v>66</v>
      </c>
      <c r="B68" s="4" t="s">
        <v>66</v>
      </c>
      <c r="C68" s="7" t="s">
        <v>133</v>
      </c>
      <c r="D68" s="4">
        <f t="shared" ref="D68:D102" ca="1" si="4">RANDBETWEEN(1,100)</f>
        <v>98</v>
      </c>
      <c r="E68" s="4" t="s">
        <v>148</v>
      </c>
      <c r="F68" s="4">
        <f ca="1">2022-Tabla1[[#This Row],[Columna3]]</f>
        <v>1924</v>
      </c>
      <c r="G68" s="4" t="s">
        <v>57</v>
      </c>
      <c r="H68" s="4">
        <f t="shared" ref="H68:J102" ca="1" si="5">RANDBETWEEN(1,5)</f>
        <v>2</v>
      </c>
      <c r="I68" s="4">
        <f t="shared" ca="1" si="5"/>
        <v>1</v>
      </c>
      <c r="J68" s="4">
        <f t="shared" ca="1" si="5"/>
        <v>4</v>
      </c>
      <c r="K68" s="4" t="s">
        <v>232</v>
      </c>
      <c r="L68" s="4">
        <f t="shared" ref="L68:L102" ca="1" si="6">RANDBETWEEN(1,100)</f>
        <v>91</v>
      </c>
      <c r="M68" s="8">
        <f ca="1">Tabla3[[#This Row],[Columna6]]+1</f>
        <v>92</v>
      </c>
      <c r="N68" s="8" t="s">
        <v>201</v>
      </c>
      <c r="O68" s="4">
        <f t="shared" ref="O68:O102" ca="1" si="7">RANDBETWEEN(2,6)</f>
        <v>4</v>
      </c>
    </row>
    <row r="69" spans="1:15">
      <c r="A69" s="16">
        <v>67</v>
      </c>
      <c r="B69" s="4" t="s">
        <v>67</v>
      </c>
      <c r="C69" s="7" t="s">
        <v>99</v>
      </c>
      <c r="D69" s="4">
        <f t="shared" ca="1" si="4"/>
        <v>48</v>
      </c>
      <c r="E69" s="4" t="s">
        <v>148</v>
      </c>
      <c r="F69" s="4">
        <f ca="1">2022-Tabla1[[#This Row],[Columna3]]</f>
        <v>1974</v>
      </c>
      <c r="G69" s="4" t="s">
        <v>58</v>
      </c>
      <c r="H69" s="4">
        <f t="shared" ca="1" si="5"/>
        <v>5</v>
      </c>
      <c r="I69" s="4">
        <f t="shared" ca="1" si="5"/>
        <v>1</v>
      </c>
      <c r="J69" s="4">
        <f t="shared" ca="1" si="5"/>
        <v>1</v>
      </c>
      <c r="K69" s="4" t="s">
        <v>232</v>
      </c>
      <c r="L69" s="4">
        <f t="shared" ca="1" si="6"/>
        <v>70</v>
      </c>
      <c r="M69" s="8">
        <f ca="1">Tabla3[[#This Row],[Columna6]]+1</f>
        <v>71</v>
      </c>
      <c r="N69" s="8" t="s">
        <v>202</v>
      </c>
      <c r="O69" s="4">
        <f t="shared" ca="1" si="7"/>
        <v>3</v>
      </c>
    </row>
    <row r="70" spans="1:15">
      <c r="A70" s="16">
        <v>68</v>
      </c>
      <c r="B70" s="4" t="s">
        <v>68</v>
      </c>
      <c r="C70" s="7" t="s">
        <v>100</v>
      </c>
      <c r="D70" s="4">
        <f t="shared" ca="1" si="4"/>
        <v>32</v>
      </c>
      <c r="E70" s="4" t="s">
        <v>148</v>
      </c>
      <c r="F70" s="4">
        <f ca="1">2022-Tabla1[[#This Row],[Columna3]]</f>
        <v>1990</v>
      </c>
      <c r="G70" s="4" t="s">
        <v>59</v>
      </c>
      <c r="H70" s="4">
        <f t="shared" ca="1" si="5"/>
        <v>3</v>
      </c>
      <c r="I70" s="4">
        <f t="shared" ca="1" si="5"/>
        <v>1</v>
      </c>
      <c r="J70" s="4">
        <f t="shared" ca="1" si="5"/>
        <v>2</v>
      </c>
      <c r="K70" s="4" t="s">
        <v>232</v>
      </c>
      <c r="L70" s="4">
        <f t="shared" ca="1" si="6"/>
        <v>65</v>
      </c>
      <c r="M70" s="8">
        <f ca="1">Tabla3[[#This Row],[Columna6]]+1</f>
        <v>66</v>
      </c>
      <c r="N70" s="8" t="s">
        <v>203</v>
      </c>
      <c r="O70" s="4">
        <f t="shared" ca="1" si="7"/>
        <v>5</v>
      </c>
    </row>
    <row r="71" spans="1:15">
      <c r="A71" s="16">
        <v>69</v>
      </c>
      <c r="B71" s="4" t="s">
        <v>69</v>
      </c>
      <c r="C71" s="7" t="s">
        <v>101</v>
      </c>
      <c r="D71" s="4">
        <f t="shared" ca="1" si="4"/>
        <v>87</v>
      </c>
      <c r="E71" s="4" t="s">
        <v>148</v>
      </c>
      <c r="F71" s="4">
        <f ca="1">2022-Tabla1[[#This Row],[Columna3]]</f>
        <v>1935</v>
      </c>
      <c r="G71" s="4" t="s">
        <v>60</v>
      </c>
      <c r="H71" s="4">
        <f t="shared" ca="1" si="5"/>
        <v>5</v>
      </c>
      <c r="I71" s="4">
        <f t="shared" ca="1" si="5"/>
        <v>4</v>
      </c>
      <c r="J71" s="4">
        <f t="shared" ca="1" si="5"/>
        <v>2</v>
      </c>
      <c r="K71" s="4" t="s">
        <v>232</v>
      </c>
      <c r="L71" s="4">
        <f t="shared" ca="1" si="6"/>
        <v>64</v>
      </c>
      <c r="M71" s="8">
        <f ca="1">Tabla3[[#This Row],[Columna6]]+1</f>
        <v>65</v>
      </c>
      <c r="N71" s="8" t="s">
        <v>204</v>
      </c>
      <c r="O71" s="4">
        <f t="shared" ca="1" si="7"/>
        <v>3</v>
      </c>
    </row>
    <row r="72" spans="1:15">
      <c r="A72" s="16">
        <v>70</v>
      </c>
      <c r="B72" s="4" t="s">
        <v>70</v>
      </c>
      <c r="C72" s="7" t="s">
        <v>102</v>
      </c>
      <c r="D72" s="4">
        <f t="shared" ca="1" si="4"/>
        <v>96</v>
      </c>
      <c r="E72" s="4" t="s">
        <v>148</v>
      </c>
      <c r="F72" s="4">
        <f ca="1">2022-Tabla1[[#This Row],[Columna3]]</f>
        <v>1926</v>
      </c>
      <c r="G72" s="4" t="s">
        <v>61</v>
      </c>
      <c r="H72" s="4">
        <f t="shared" ca="1" si="5"/>
        <v>3</v>
      </c>
      <c r="I72" s="4">
        <f t="shared" ca="1" si="5"/>
        <v>5</v>
      </c>
      <c r="J72" s="4">
        <f t="shared" ca="1" si="5"/>
        <v>5</v>
      </c>
      <c r="K72" s="4" t="s">
        <v>232</v>
      </c>
      <c r="L72" s="4">
        <f t="shared" ca="1" si="6"/>
        <v>8</v>
      </c>
      <c r="M72" s="8">
        <f ca="1">Tabla3[[#This Row],[Columna6]]+1</f>
        <v>9</v>
      </c>
      <c r="N72" s="8" t="s">
        <v>205</v>
      </c>
      <c r="O72" s="4">
        <f t="shared" ca="1" si="7"/>
        <v>4</v>
      </c>
    </row>
    <row r="73" spans="1:15">
      <c r="A73" s="16">
        <v>71</v>
      </c>
      <c r="B73" s="4" t="s">
        <v>71</v>
      </c>
      <c r="C73" s="7" t="s">
        <v>103</v>
      </c>
      <c r="D73" s="4">
        <f t="shared" ca="1" si="4"/>
        <v>94</v>
      </c>
      <c r="E73" s="4" t="s">
        <v>148</v>
      </c>
      <c r="F73" s="4">
        <f ca="1">2022-Tabla1[[#This Row],[Columna3]]</f>
        <v>1928</v>
      </c>
      <c r="G73" s="4" t="s">
        <v>62</v>
      </c>
      <c r="H73" s="4">
        <f t="shared" ca="1" si="5"/>
        <v>4</v>
      </c>
      <c r="I73" s="4">
        <f t="shared" ca="1" si="5"/>
        <v>1</v>
      </c>
      <c r="J73" s="4">
        <f t="shared" ca="1" si="5"/>
        <v>3</v>
      </c>
      <c r="K73" s="4" t="s">
        <v>232</v>
      </c>
      <c r="L73" s="4">
        <f t="shared" ca="1" si="6"/>
        <v>39</v>
      </c>
      <c r="M73" s="8">
        <f ca="1">Tabla3[[#This Row],[Columna6]]+1</f>
        <v>40</v>
      </c>
      <c r="N73" s="8" t="s">
        <v>206</v>
      </c>
      <c r="O73" s="4">
        <f t="shared" ca="1" si="7"/>
        <v>3</v>
      </c>
    </row>
    <row r="74" spans="1:15">
      <c r="A74" s="16">
        <v>72</v>
      </c>
      <c r="B74" s="4" t="s">
        <v>72</v>
      </c>
      <c r="C74" s="7" t="s">
        <v>104</v>
      </c>
      <c r="D74" s="4">
        <f t="shared" ca="1" si="4"/>
        <v>3</v>
      </c>
      <c r="E74" s="4" t="s">
        <v>148</v>
      </c>
      <c r="F74" s="4">
        <f ca="1">2022-Tabla1[[#This Row],[Columna3]]</f>
        <v>2019</v>
      </c>
      <c r="G74" s="4" t="s">
        <v>63</v>
      </c>
      <c r="H74" s="4">
        <f t="shared" ca="1" si="5"/>
        <v>5</v>
      </c>
      <c r="I74" s="4">
        <f t="shared" ca="1" si="5"/>
        <v>5</v>
      </c>
      <c r="J74" s="4">
        <f t="shared" ca="1" si="5"/>
        <v>3</v>
      </c>
      <c r="K74" s="4" t="s">
        <v>232</v>
      </c>
      <c r="L74" s="4">
        <f t="shared" ca="1" si="6"/>
        <v>80</v>
      </c>
      <c r="M74" s="8">
        <f ca="1">Tabla3[[#This Row],[Columna6]]+1</f>
        <v>81</v>
      </c>
      <c r="N74" s="8" t="s">
        <v>207</v>
      </c>
      <c r="O74" s="4">
        <f t="shared" ca="1" si="7"/>
        <v>6</v>
      </c>
    </row>
    <row r="75" spans="1:15">
      <c r="A75" s="16">
        <v>73</v>
      </c>
      <c r="B75" s="4" t="s">
        <v>73</v>
      </c>
      <c r="C75" s="7" t="s">
        <v>105</v>
      </c>
      <c r="D75" s="4">
        <f t="shared" ca="1" si="4"/>
        <v>64</v>
      </c>
      <c r="E75" s="4" t="s">
        <v>148</v>
      </c>
      <c r="F75" s="4">
        <f ca="1">2022-Tabla1[[#This Row],[Columna3]]</f>
        <v>1958</v>
      </c>
      <c r="G75" s="4" t="s">
        <v>64</v>
      </c>
      <c r="H75" s="4">
        <f t="shared" ca="1" si="5"/>
        <v>1</v>
      </c>
      <c r="I75" s="4">
        <f t="shared" ca="1" si="5"/>
        <v>4</v>
      </c>
      <c r="J75" s="4">
        <f t="shared" ca="1" si="5"/>
        <v>3</v>
      </c>
      <c r="K75" s="4" t="s">
        <v>232</v>
      </c>
      <c r="L75" s="4">
        <f t="shared" ca="1" si="6"/>
        <v>64</v>
      </c>
      <c r="M75" s="8">
        <f ca="1">Tabla3[[#This Row],[Columna6]]+1</f>
        <v>65</v>
      </c>
      <c r="N75" s="8" t="s">
        <v>173</v>
      </c>
      <c r="O75" s="4">
        <f t="shared" ca="1" si="7"/>
        <v>6</v>
      </c>
    </row>
    <row r="76" spans="1:15">
      <c r="A76" s="16">
        <v>74</v>
      </c>
      <c r="B76" s="4" t="s">
        <v>74</v>
      </c>
      <c r="C76" s="7" t="s">
        <v>106</v>
      </c>
      <c r="D76" s="4">
        <f t="shared" ca="1" si="4"/>
        <v>35</v>
      </c>
      <c r="E76" s="4" t="s">
        <v>148</v>
      </c>
      <c r="F76" s="4">
        <f ca="1">2022-Tabla1[[#This Row],[Columna3]]</f>
        <v>1987</v>
      </c>
      <c r="G76" s="4" t="s">
        <v>65</v>
      </c>
      <c r="H76" s="4">
        <f t="shared" ca="1" si="5"/>
        <v>5</v>
      </c>
      <c r="I76" s="4">
        <f t="shared" ca="1" si="5"/>
        <v>4</v>
      </c>
      <c r="J76" s="4">
        <f t="shared" ca="1" si="5"/>
        <v>3</v>
      </c>
      <c r="K76" s="4" t="s">
        <v>232</v>
      </c>
      <c r="L76" s="4">
        <f t="shared" ca="1" si="6"/>
        <v>35</v>
      </c>
      <c r="M76" s="8">
        <f ca="1">Tabla3[[#This Row],[Columna6]]+1</f>
        <v>36</v>
      </c>
      <c r="N76" s="8" t="s">
        <v>174</v>
      </c>
      <c r="O76" s="4">
        <f t="shared" ca="1" si="7"/>
        <v>6</v>
      </c>
    </row>
    <row r="77" spans="1:15">
      <c r="A77" s="16">
        <v>75</v>
      </c>
      <c r="B77" s="4" t="s">
        <v>75</v>
      </c>
      <c r="C77" s="7" t="s">
        <v>107</v>
      </c>
      <c r="D77" s="4">
        <f t="shared" ca="1" si="4"/>
        <v>34</v>
      </c>
      <c r="E77" s="4" t="s">
        <v>148</v>
      </c>
      <c r="F77" s="4">
        <f ca="1">2022-Tabla1[[#This Row],[Columna3]]</f>
        <v>1988</v>
      </c>
      <c r="G77" s="4" t="s">
        <v>66</v>
      </c>
      <c r="H77" s="4">
        <f t="shared" ca="1" si="5"/>
        <v>4</v>
      </c>
      <c r="I77" s="4">
        <f t="shared" ca="1" si="5"/>
        <v>2</v>
      </c>
      <c r="J77" s="4">
        <f t="shared" ca="1" si="5"/>
        <v>4</v>
      </c>
      <c r="K77" s="4" t="s">
        <v>227</v>
      </c>
      <c r="L77" s="4">
        <f t="shared" ca="1" si="6"/>
        <v>65</v>
      </c>
      <c r="M77" s="8">
        <f ca="1">Tabla3[[#This Row],[Columna6]]+1</f>
        <v>66</v>
      </c>
      <c r="N77" s="8" t="s">
        <v>175</v>
      </c>
      <c r="O77" s="4">
        <f t="shared" ca="1" si="7"/>
        <v>2</v>
      </c>
    </row>
    <row r="78" spans="1:15">
      <c r="A78" s="16">
        <v>76</v>
      </c>
      <c r="B78" s="4" t="s">
        <v>76</v>
      </c>
      <c r="C78" s="7" t="s">
        <v>108</v>
      </c>
      <c r="D78" s="4">
        <f t="shared" ca="1" si="4"/>
        <v>100</v>
      </c>
      <c r="E78" s="4" t="s">
        <v>148</v>
      </c>
      <c r="F78" s="4">
        <f ca="1">2022-Tabla1[[#This Row],[Columna3]]</f>
        <v>1922</v>
      </c>
      <c r="G78" s="4" t="s">
        <v>67</v>
      </c>
      <c r="H78" s="4">
        <f t="shared" ca="1" si="5"/>
        <v>3</v>
      </c>
      <c r="I78" s="4">
        <f t="shared" ca="1" si="5"/>
        <v>2</v>
      </c>
      <c r="J78" s="4">
        <f t="shared" ca="1" si="5"/>
        <v>5</v>
      </c>
      <c r="K78" s="4" t="s">
        <v>232</v>
      </c>
      <c r="L78" s="4">
        <f t="shared" ca="1" si="6"/>
        <v>29</v>
      </c>
      <c r="M78" s="8">
        <f ca="1">Tabla3[[#This Row],[Columna6]]+1</f>
        <v>30</v>
      </c>
      <c r="N78" s="8" t="s">
        <v>176</v>
      </c>
      <c r="O78" s="4">
        <f t="shared" ca="1" si="7"/>
        <v>2</v>
      </c>
    </row>
    <row r="79" spans="1:15">
      <c r="A79" s="16">
        <v>77</v>
      </c>
      <c r="B79" s="4" t="s">
        <v>77</v>
      </c>
      <c r="C79" s="7" t="s">
        <v>109</v>
      </c>
      <c r="D79" s="4">
        <f t="shared" ca="1" si="4"/>
        <v>24</v>
      </c>
      <c r="E79" s="4" t="s">
        <v>148</v>
      </c>
      <c r="F79" s="4">
        <f ca="1">2022-Tabla1[[#This Row],[Columna3]]</f>
        <v>1998</v>
      </c>
      <c r="G79" s="4" t="s">
        <v>68</v>
      </c>
      <c r="H79" s="4">
        <f t="shared" ca="1" si="5"/>
        <v>5</v>
      </c>
      <c r="I79" s="4">
        <f t="shared" ca="1" si="5"/>
        <v>3</v>
      </c>
      <c r="J79" s="4">
        <f t="shared" ca="1" si="5"/>
        <v>4</v>
      </c>
      <c r="K79" s="4" t="s">
        <v>232</v>
      </c>
      <c r="L79" s="4">
        <f t="shared" ca="1" si="6"/>
        <v>79</v>
      </c>
      <c r="M79" s="8">
        <f ca="1">Tabla3[[#This Row],[Columna6]]+1</f>
        <v>80</v>
      </c>
      <c r="N79" s="8" t="s">
        <v>177</v>
      </c>
      <c r="O79" s="4">
        <f t="shared" ca="1" si="7"/>
        <v>5</v>
      </c>
    </row>
    <row r="80" spans="1:15">
      <c r="A80" s="16">
        <v>78</v>
      </c>
      <c r="B80" s="4" t="s">
        <v>78</v>
      </c>
      <c r="C80" s="7" t="s">
        <v>110</v>
      </c>
      <c r="D80" s="4">
        <f t="shared" ca="1" si="4"/>
        <v>95</v>
      </c>
      <c r="E80" s="4" t="s">
        <v>148</v>
      </c>
      <c r="F80" s="4">
        <f ca="1">2022-Tabla1[[#This Row],[Columna3]]</f>
        <v>1927</v>
      </c>
      <c r="G80" s="4" t="s">
        <v>60</v>
      </c>
      <c r="H80" s="4">
        <f t="shared" ca="1" si="5"/>
        <v>5</v>
      </c>
      <c r="I80" s="4">
        <f t="shared" ca="1" si="5"/>
        <v>2</v>
      </c>
      <c r="J80" s="4">
        <f t="shared" ca="1" si="5"/>
        <v>5</v>
      </c>
      <c r="K80" s="4" t="s">
        <v>232</v>
      </c>
      <c r="L80" s="4">
        <f t="shared" ca="1" si="6"/>
        <v>57</v>
      </c>
      <c r="M80" s="8">
        <f ca="1">Tabla3[[#This Row],[Columna6]]+1</f>
        <v>58</v>
      </c>
      <c r="N80" s="8" t="s">
        <v>178</v>
      </c>
      <c r="O80" s="4">
        <f t="shared" ca="1" si="7"/>
        <v>6</v>
      </c>
    </row>
    <row r="81" spans="1:15">
      <c r="A81" s="16">
        <v>79</v>
      </c>
      <c r="B81" s="4" t="s">
        <v>79</v>
      </c>
      <c r="C81" s="7" t="s">
        <v>111</v>
      </c>
      <c r="D81" s="4">
        <f t="shared" ca="1" si="4"/>
        <v>85</v>
      </c>
      <c r="E81" s="4" t="s">
        <v>148</v>
      </c>
      <c r="F81" s="4">
        <f ca="1">2022-Tabla1[[#This Row],[Columna3]]</f>
        <v>1937</v>
      </c>
      <c r="G81" s="4" t="s">
        <v>61</v>
      </c>
      <c r="H81" s="4">
        <f t="shared" ca="1" si="5"/>
        <v>5</v>
      </c>
      <c r="I81" s="4">
        <f t="shared" ca="1" si="5"/>
        <v>5</v>
      </c>
      <c r="J81" s="4">
        <f t="shared" ca="1" si="5"/>
        <v>1</v>
      </c>
      <c r="K81" s="4" t="s">
        <v>232</v>
      </c>
      <c r="L81" s="4">
        <f t="shared" ca="1" si="6"/>
        <v>76</v>
      </c>
      <c r="M81" s="8">
        <f ca="1">Tabla3[[#This Row],[Columna6]]+1</f>
        <v>77</v>
      </c>
      <c r="N81" s="8" t="s">
        <v>179</v>
      </c>
      <c r="O81" s="4">
        <f t="shared" ca="1" si="7"/>
        <v>4</v>
      </c>
    </row>
    <row r="82" spans="1:15">
      <c r="A82" s="16">
        <v>80</v>
      </c>
      <c r="B82" s="4" t="s">
        <v>80</v>
      </c>
      <c r="C82" s="7" t="s">
        <v>112</v>
      </c>
      <c r="D82" s="4">
        <f t="shared" ca="1" si="4"/>
        <v>84</v>
      </c>
      <c r="E82" s="4" t="s">
        <v>148</v>
      </c>
      <c r="F82" s="4">
        <f ca="1">2022-Tabla1[[#This Row],[Columna3]]</f>
        <v>1938</v>
      </c>
      <c r="G82" s="4" t="s">
        <v>62</v>
      </c>
      <c r="H82" s="4">
        <f t="shared" ca="1" si="5"/>
        <v>2</v>
      </c>
      <c r="I82" s="4">
        <f t="shared" ca="1" si="5"/>
        <v>4</v>
      </c>
      <c r="J82" s="4">
        <f t="shared" ca="1" si="5"/>
        <v>2</v>
      </c>
      <c r="K82" s="4" t="s">
        <v>232</v>
      </c>
      <c r="L82" s="4">
        <f t="shared" ca="1" si="6"/>
        <v>13</v>
      </c>
      <c r="M82" s="8">
        <f ca="1">Tabla3[[#This Row],[Columna6]]+1</f>
        <v>14</v>
      </c>
      <c r="N82" s="8" t="s">
        <v>180</v>
      </c>
      <c r="O82" s="4">
        <f t="shared" ca="1" si="7"/>
        <v>4</v>
      </c>
    </row>
    <row r="83" spans="1:15">
      <c r="A83" s="16">
        <v>81</v>
      </c>
      <c r="B83" s="4" t="s">
        <v>81</v>
      </c>
      <c r="C83" s="7" t="s">
        <v>113</v>
      </c>
      <c r="D83" s="4">
        <f t="shared" ca="1" si="4"/>
        <v>3</v>
      </c>
      <c r="E83" s="4" t="s">
        <v>148</v>
      </c>
      <c r="F83" s="4">
        <f ca="1">2022-Tabla1[[#This Row],[Columna3]]</f>
        <v>2019</v>
      </c>
      <c r="G83" s="4" t="s">
        <v>49</v>
      </c>
      <c r="H83" s="4">
        <f t="shared" ca="1" si="5"/>
        <v>4</v>
      </c>
      <c r="I83" s="4">
        <f t="shared" ca="1" si="5"/>
        <v>5</v>
      </c>
      <c r="J83" s="4">
        <f t="shared" ca="1" si="5"/>
        <v>2</v>
      </c>
      <c r="K83" s="4" t="s">
        <v>227</v>
      </c>
      <c r="L83" s="4">
        <f t="shared" ca="1" si="6"/>
        <v>45</v>
      </c>
      <c r="M83" s="8">
        <f ca="1">Tabla3[[#This Row],[Columna6]]+1</f>
        <v>46</v>
      </c>
      <c r="N83" s="8" t="s">
        <v>181</v>
      </c>
      <c r="O83" s="4">
        <f t="shared" ca="1" si="7"/>
        <v>5</v>
      </c>
    </row>
    <row r="84" spans="1:15">
      <c r="A84" s="16">
        <v>82</v>
      </c>
      <c r="B84" s="4" t="s">
        <v>93</v>
      </c>
      <c r="C84" s="7" t="s">
        <v>114</v>
      </c>
      <c r="D84" s="4">
        <f t="shared" ca="1" si="4"/>
        <v>15</v>
      </c>
      <c r="E84" s="4" t="s">
        <v>148</v>
      </c>
      <c r="F84" s="4">
        <f ca="1">2022-Tabla1[[#This Row],[Columna3]]</f>
        <v>2007</v>
      </c>
      <c r="G84" s="4" t="s">
        <v>50</v>
      </c>
      <c r="H84" s="4">
        <f t="shared" ca="1" si="5"/>
        <v>3</v>
      </c>
      <c r="I84" s="4">
        <f t="shared" ca="1" si="5"/>
        <v>2</v>
      </c>
      <c r="J84" s="4">
        <f t="shared" ca="1" si="5"/>
        <v>4</v>
      </c>
      <c r="K84" s="4" t="s">
        <v>227</v>
      </c>
      <c r="L84" s="4">
        <f t="shared" ca="1" si="6"/>
        <v>25</v>
      </c>
      <c r="M84" s="8">
        <f ca="1">Tabla3[[#This Row],[Columna6]]+1</f>
        <v>26</v>
      </c>
      <c r="N84" s="8" t="s">
        <v>182</v>
      </c>
      <c r="O84" s="4">
        <f t="shared" ca="1" si="7"/>
        <v>6</v>
      </c>
    </row>
    <row r="85" spans="1:15">
      <c r="A85" s="16">
        <v>83</v>
      </c>
      <c r="B85" s="4" t="s">
        <v>94</v>
      </c>
      <c r="C85" s="7" t="s">
        <v>115</v>
      </c>
      <c r="D85" s="4">
        <f t="shared" ca="1" si="4"/>
        <v>59</v>
      </c>
      <c r="E85" s="4" t="s">
        <v>148</v>
      </c>
      <c r="F85" s="4">
        <f ca="1">2022-Tabla1[[#This Row],[Columna3]]</f>
        <v>1963</v>
      </c>
      <c r="G85" s="4" t="s">
        <v>97</v>
      </c>
      <c r="H85" s="4">
        <f t="shared" ca="1" si="5"/>
        <v>2</v>
      </c>
      <c r="I85" s="4">
        <f t="shared" ca="1" si="5"/>
        <v>4</v>
      </c>
      <c r="J85" s="4">
        <f t="shared" ca="1" si="5"/>
        <v>5</v>
      </c>
      <c r="K85" s="4" t="s">
        <v>227</v>
      </c>
      <c r="L85" s="4">
        <f t="shared" ca="1" si="6"/>
        <v>83</v>
      </c>
      <c r="M85" s="8">
        <f ca="1">Tabla3[[#This Row],[Columna6]]+1</f>
        <v>84</v>
      </c>
      <c r="N85" s="8" t="s">
        <v>183</v>
      </c>
      <c r="O85" s="4">
        <f t="shared" ca="1" si="7"/>
        <v>2</v>
      </c>
    </row>
    <row r="86" spans="1:15">
      <c r="A86" s="16">
        <v>84</v>
      </c>
      <c r="B86" s="4" t="s">
        <v>82</v>
      </c>
      <c r="C86" s="7" t="s">
        <v>116</v>
      </c>
      <c r="D86" s="4">
        <f t="shared" ca="1" si="4"/>
        <v>46</v>
      </c>
      <c r="E86" s="4" t="s">
        <v>148</v>
      </c>
      <c r="F86" s="4">
        <f ca="1">2022-Tabla1[[#This Row],[Columna3]]</f>
        <v>1976</v>
      </c>
      <c r="G86" s="4" t="s">
        <v>51</v>
      </c>
      <c r="H86" s="4">
        <f t="shared" ca="1" si="5"/>
        <v>1</v>
      </c>
      <c r="I86" s="4">
        <f t="shared" ca="1" si="5"/>
        <v>4</v>
      </c>
      <c r="J86" s="4">
        <f t="shared" ca="1" si="5"/>
        <v>1</v>
      </c>
      <c r="K86" s="4" t="s">
        <v>227</v>
      </c>
      <c r="L86" s="4">
        <f t="shared" ca="1" si="6"/>
        <v>89</v>
      </c>
      <c r="M86" s="8">
        <f ca="1">Tabla3[[#This Row],[Columna6]]+1</f>
        <v>90</v>
      </c>
      <c r="N86" s="8" t="s">
        <v>184</v>
      </c>
      <c r="O86" s="4">
        <f t="shared" ca="1" si="7"/>
        <v>4</v>
      </c>
    </row>
    <row r="87" spans="1:15">
      <c r="A87" s="16">
        <v>85</v>
      </c>
      <c r="B87" s="4" t="s">
        <v>83</v>
      </c>
      <c r="C87" s="7" t="s">
        <v>117</v>
      </c>
      <c r="D87" s="4">
        <f t="shared" ca="1" si="4"/>
        <v>15</v>
      </c>
      <c r="E87" s="4" t="s">
        <v>148</v>
      </c>
      <c r="F87" s="4">
        <f ca="1">2022-Tabla1[[#This Row],[Columna3]]</f>
        <v>2007</v>
      </c>
      <c r="G87" s="4" t="s">
        <v>52</v>
      </c>
      <c r="H87" s="4">
        <f t="shared" ca="1" si="5"/>
        <v>4</v>
      </c>
      <c r="I87" s="4">
        <f t="shared" ca="1" si="5"/>
        <v>4</v>
      </c>
      <c r="J87" s="4">
        <f t="shared" ca="1" si="5"/>
        <v>3</v>
      </c>
      <c r="K87" s="4" t="s">
        <v>227</v>
      </c>
      <c r="L87" s="4">
        <f t="shared" ca="1" si="6"/>
        <v>33</v>
      </c>
      <c r="M87" s="8">
        <f ca="1">Tabla3[[#This Row],[Columna6]]+1</f>
        <v>34</v>
      </c>
      <c r="N87" s="8" t="s">
        <v>185</v>
      </c>
      <c r="O87" s="4">
        <f t="shared" ca="1" si="7"/>
        <v>3</v>
      </c>
    </row>
    <row r="88" spans="1:15">
      <c r="A88" s="16">
        <v>86</v>
      </c>
      <c r="B88" s="4" t="s">
        <v>84</v>
      </c>
      <c r="C88" s="7" t="s">
        <v>118</v>
      </c>
      <c r="D88" s="4">
        <f t="shared" ca="1" si="4"/>
        <v>24</v>
      </c>
      <c r="E88" s="4" t="s">
        <v>148</v>
      </c>
      <c r="F88" s="4">
        <f ca="1">2022-Tabla1[[#This Row],[Columna3]]</f>
        <v>1998</v>
      </c>
      <c r="G88" s="4" t="s">
        <v>53</v>
      </c>
      <c r="H88" s="4">
        <f t="shared" ca="1" si="5"/>
        <v>1</v>
      </c>
      <c r="I88" s="4">
        <f t="shared" ca="1" si="5"/>
        <v>1</v>
      </c>
      <c r="J88" s="4">
        <f t="shared" ca="1" si="5"/>
        <v>5</v>
      </c>
      <c r="K88" s="4" t="s">
        <v>227</v>
      </c>
      <c r="L88" s="4">
        <f t="shared" ca="1" si="6"/>
        <v>76</v>
      </c>
      <c r="M88" s="8">
        <f ca="1">Tabla3[[#This Row],[Columna6]]+1</f>
        <v>77</v>
      </c>
      <c r="N88" s="8" t="s">
        <v>186</v>
      </c>
      <c r="O88" s="4">
        <f t="shared" ca="1" si="7"/>
        <v>4</v>
      </c>
    </row>
    <row r="89" spans="1:15">
      <c r="A89" s="16">
        <v>87</v>
      </c>
      <c r="B89" s="4" t="s">
        <v>85</v>
      </c>
      <c r="C89" s="7" t="s">
        <v>100</v>
      </c>
      <c r="D89" s="4">
        <f t="shared" ca="1" si="4"/>
        <v>49</v>
      </c>
      <c r="E89" s="4" t="s">
        <v>148</v>
      </c>
      <c r="F89" s="4">
        <f ca="1">2022-Tabla1[[#This Row],[Columna3]]</f>
        <v>1973</v>
      </c>
      <c r="G89" s="4" t="s">
        <v>54</v>
      </c>
      <c r="H89" s="4">
        <f t="shared" ca="1" si="5"/>
        <v>4</v>
      </c>
      <c r="I89" s="4">
        <f t="shared" ca="1" si="5"/>
        <v>2</v>
      </c>
      <c r="J89" s="4">
        <f t="shared" ca="1" si="5"/>
        <v>3</v>
      </c>
      <c r="K89" s="4" t="s">
        <v>227</v>
      </c>
      <c r="L89" s="4">
        <f t="shared" ca="1" si="6"/>
        <v>30</v>
      </c>
      <c r="M89" s="8">
        <f ca="1">Tabla3[[#This Row],[Columna6]]+1</f>
        <v>31</v>
      </c>
      <c r="N89" s="8" t="s">
        <v>187</v>
      </c>
      <c r="O89" s="4">
        <f t="shared" ca="1" si="7"/>
        <v>3</v>
      </c>
    </row>
    <row r="90" spans="1:15">
      <c r="A90" s="16">
        <v>88</v>
      </c>
      <c r="B90" s="4" t="s">
        <v>86</v>
      </c>
      <c r="C90" s="7" t="s">
        <v>101</v>
      </c>
      <c r="D90" s="4">
        <f t="shared" ca="1" si="4"/>
        <v>17</v>
      </c>
      <c r="E90" s="4" t="s">
        <v>148</v>
      </c>
      <c r="F90" s="4">
        <f ca="1">2022-Tabla1[[#This Row],[Columna3]]</f>
        <v>2005</v>
      </c>
      <c r="G90" s="4" t="s">
        <v>55</v>
      </c>
      <c r="H90" s="4">
        <f t="shared" ca="1" si="5"/>
        <v>4</v>
      </c>
      <c r="I90" s="4">
        <f t="shared" ca="1" si="5"/>
        <v>4</v>
      </c>
      <c r="J90" s="4">
        <f t="shared" ca="1" si="5"/>
        <v>5</v>
      </c>
      <c r="K90" s="4" t="s">
        <v>227</v>
      </c>
      <c r="L90" s="4">
        <f t="shared" ca="1" si="6"/>
        <v>6</v>
      </c>
      <c r="M90" s="8">
        <f ca="1">Tabla3[[#This Row],[Columna6]]+1</f>
        <v>7</v>
      </c>
      <c r="N90" s="8" t="s">
        <v>188</v>
      </c>
      <c r="O90" s="4">
        <f t="shared" ca="1" si="7"/>
        <v>3</v>
      </c>
    </row>
    <row r="91" spans="1:15">
      <c r="A91" s="16">
        <v>89</v>
      </c>
      <c r="B91" s="4" t="s">
        <v>87</v>
      </c>
      <c r="C91" s="7" t="s">
        <v>102</v>
      </c>
      <c r="D91" s="4">
        <f t="shared" ca="1" si="4"/>
        <v>32</v>
      </c>
      <c r="E91" s="4" t="s">
        <v>148</v>
      </c>
      <c r="F91" s="4">
        <f ca="1">2022-Tabla1[[#This Row],[Columna3]]</f>
        <v>1990</v>
      </c>
      <c r="G91" s="4" t="s">
        <v>56</v>
      </c>
      <c r="H91" s="4">
        <f t="shared" ca="1" si="5"/>
        <v>1</v>
      </c>
      <c r="I91" s="4">
        <f t="shared" ca="1" si="5"/>
        <v>5</v>
      </c>
      <c r="J91" s="4">
        <f t="shared" ca="1" si="5"/>
        <v>5</v>
      </c>
      <c r="K91" s="4" t="s">
        <v>227</v>
      </c>
      <c r="L91" s="4">
        <f t="shared" ca="1" si="6"/>
        <v>6</v>
      </c>
      <c r="M91" s="8">
        <f ca="1">Tabla3[[#This Row],[Columna6]]+1</f>
        <v>7</v>
      </c>
      <c r="N91" s="8" t="s">
        <v>189</v>
      </c>
      <c r="O91" s="4">
        <f t="shared" ca="1" si="7"/>
        <v>3</v>
      </c>
    </row>
    <row r="92" spans="1:15">
      <c r="A92" s="16">
        <v>90</v>
      </c>
      <c r="B92" s="4" t="s">
        <v>88</v>
      </c>
      <c r="C92" s="7" t="s">
        <v>103</v>
      </c>
      <c r="D92" s="4">
        <f t="shared" ca="1" si="4"/>
        <v>64</v>
      </c>
      <c r="E92" s="4" t="s">
        <v>148</v>
      </c>
      <c r="F92" s="4">
        <f ca="1">2022-Tabla1[[#This Row],[Columna3]]</f>
        <v>1958</v>
      </c>
      <c r="G92" s="4" t="s">
        <v>57</v>
      </c>
      <c r="H92" s="4">
        <f t="shared" ca="1" si="5"/>
        <v>3</v>
      </c>
      <c r="I92" s="4">
        <f t="shared" ca="1" si="5"/>
        <v>4</v>
      </c>
      <c r="J92" s="4">
        <f t="shared" ca="1" si="5"/>
        <v>5</v>
      </c>
      <c r="K92" s="4" t="s">
        <v>227</v>
      </c>
      <c r="L92" s="4">
        <f t="shared" ca="1" si="6"/>
        <v>88</v>
      </c>
      <c r="M92" s="8">
        <f ca="1">Tabla3[[#This Row],[Columna6]]+1</f>
        <v>89</v>
      </c>
      <c r="N92" s="8" t="s">
        <v>190</v>
      </c>
      <c r="O92" s="4">
        <f t="shared" ca="1" si="7"/>
        <v>2</v>
      </c>
    </row>
    <row r="93" spans="1:15">
      <c r="A93" s="16">
        <v>91</v>
      </c>
      <c r="B93" s="4" t="s">
        <v>94</v>
      </c>
      <c r="C93" s="7" t="s">
        <v>104</v>
      </c>
      <c r="D93" s="4">
        <f t="shared" ca="1" si="4"/>
        <v>77</v>
      </c>
      <c r="E93" s="4" t="s">
        <v>148</v>
      </c>
      <c r="F93" s="4">
        <f ca="1">2022-Tabla1[[#This Row],[Columna3]]</f>
        <v>1945</v>
      </c>
      <c r="G93" s="4" t="s">
        <v>58</v>
      </c>
      <c r="H93" s="4">
        <f t="shared" ca="1" si="5"/>
        <v>2</v>
      </c>
      <c r="I93" s="4">
        <f t="shared" ca="1" si="5"/>
        <v>1</v>
      </c>
      <c r="J93" s="4">
        <f t="shared" ca="1" si="5"/>
        <v>2</v>
      </c>
      <c r="K93" s="4" t="s">
        <v>227</v>
      </c>
      <c r="L93" s="4">
        <f t="shared" ca="1" si="6"/>
        <v>13</v>
      </c>
      <c r="M93" s="8">
        <f ca="1">Tabla3[[#This Row],[Columna6]]+1</f>
        <v>14</v>
      </c>
      <c r="N93" s="8" t="s">
        <v>185</v>
      </c>
      <c r="O93" s="4">
        <f t="shared" ca="1" si="7"/>
        <v>5</v>
      </c>
    </row>
    <row r="94" spans="1:15">
      <c r="A94" s="16">
        <v>92</v>
      </c>
      <c r="B94" s="4" t="s">
        <v>89</v>
      </c>
      <c r="C94" s="7" t="s">
        <v>105</v>
      </c>
      <c r="D94" s="4">
        <f t="shared" ca="1" si="4"/>
        <v>3</v>
      </c>
      <c r="E94" s="4" t="s">
        <v>148</v>
      </c>
      <c r="F94" s="4">
        <f ca="1">2022-Tabla1[[#This Row],[Columna3]]</f>
        <v>2019</v>
      </c>
      <c r="G94" s="4" t="s">
        <v>59</v>
      </c>
      <c r="H94" s="4">
        <f t="shared" ca="1" si="5"/>
        <v>5</v>
      </c>
      <c r="I94" s="4">
        <f t="shared" ca="1" si="5"/>
        <v>3</v>
      </c>
      <c r="J94" s="4">
        <f t="shared" ca="1" si="5"/>
        <v>3</v>
      </c>
      <c r="K94" s="4" t="s">
        <v>227</v>
      </c>
      <c r="L94" s="4">
        <f t="shared" ca="1" si="6"/>
        <v>61</v>
      </c>
      <c r="M94" s="8">
        <f ca="1">Tabla3[[#This Row],[Columna6]]+1</f>
        <v>62</v>
      </c>
      <c r="N94" s="8" t="s">
        <v>186</v>
      </c>
      <c r="O94" s="4">
        <f t="shared" ca="1" si="7"/>
        <v>6</v>
      </c>
    </row>
    <row r="95" spans="1:15">
      <c r="A95" s="16">
        <v>93</v>
      </c>
      <c r="B95" s="4" t="s">
        <v>95</v>
      </c>
      <c r="C95" s="7" t="s">
        <v>106</v>
      </c>
      <c r="D95" s="4">
        <f t="shared" ca="1" si="4"/>
        <v>1</v>
      </c>
      <c r="E95" s="4" t="s">
        <v>148</v>
      </c>
      <c r="F95" s="4">
        <f ca="1">2022-Tabla1[[#This Row],[Columna3]]</f>
        <v>2021</v>
      </c>
      <c r="G95" s="4" t="s">
        <v>60</v>
      </c>
      <c r="H95" s="4">
        <f t="shared" ca="1" si="5"/>
        <v>2</v>
      </c>
      <c r="I95" s="4">
        <f t="shared" ca="1" si="5"/>
        <v>4</v>
      </c>
      <c r="J95" s="4">
        <f t="shared" ca="1" si="5"/>
        <v>4</v>
      </c>
      <c r="K95" s="4" t="s">
        <v>227</v>
      </c>
      <c r="L95" s="4">
        <f t="shared" ca="1" si="6"/>
        <v>56</v>
      </c>
      <c r="M95" s="8">
        <f ca="1">Tabla3[[#This Row],[Columna6]]+1</f>
        <v>57</v>
      </c>
      <c r="N95" s="8" t="s">
        <v>187</v>
      </c>
      <c r="O95" s="4">
        <f t="shared" ca="1" si="7"/>
        <v>3</v>
      </c>
    </row>
    <row r="96" spans="1:15">
      <c r="A96" s="16">
        <v>94</v>
      </c>
      <c r="B96" s="4" t="s">
        <v>90</v>
      </c>
      <c r="C96" s="7" t="s">
        <v>107</v>
      </c>
      <c r="D96" s="4">
        <f t="shared" ca="1" si="4"/>
        <v>72</v>
      </c>
      <c r="E96" s="4" t="s">
        <v>148</v>
      </c>
      <c r="F96" s="4">
        <f ca="1">2022-Tabla1[[#This Row],[Columna3]]</f>
        <v>1950</v>
      </c>
      <c r="G96" s="4" t="s">
        <v>61</v>
      </c>
      <c r="H96" s="4">
        <f t="shared" ca="1" si="5"/>
        <v>5</v>
      </c>
      <c r="I96" s="4">
        <f t="shared" ca="1" si="5"/>
        <v>4</v>
      </c>
      <c r="J96" s="4">
        <f t="shared" ca="1" si="5"/>
        <v>5</v>
      </c>
      <c r="K96" s="4" t="s">
        <v>227</v>
      </c>
      <c r="L96" s="4">
        <f t="shared" ca="1" si="6"/>
        <v>22</v>
      </c>
      <c r="M96" s="8">
        <f ca="1">Tabla3[[#This Row],[Columna6]]+1</f>
        <v>23</v>
      </c>
      <c r="N96" s="8" t="s">
        <v>188</v>
      </c>
      <c r="O96" s="4">
        <f t="shared" ca="1" si="7"/>
        <v>3</v>
      </c>
    </row>
    <row r="97" spans="1:15">
      <c r="A97" s="16">
        <v>95</v>
      </c>
      <c r="B97" s="4" t="s">
        <v>94</v>
      </c>
      <c r="C97" s="7" t="s">
        <v>108</v>
      </c>
      <c r="D97" s="4">
        <f t="shared" ca="1" si="4"/>
        <v>70</v>
      </c>
      <c r="E97" s="4" t="s">
        <v>148</v>
      </c>
      <c r="F97" s="4">
        <f ca="1">2022-Tabla1[[#This Row],[Columna3]]</f>
        <v>1952</v>
      </c>
      <c r="G97" s="4" t="s">
        <v>62</v>
      </c>
      <c r="H97" s="4">
        <f t="shared" ca="1" si="5"/>
        <v>1</v>
      </c>
      <c r="I97" s="4">
        <f t="shared" ca="1" si="5"/>
        <v>4</v>
      </c>
      <c r="J97" s="4">
        <f t="shared" ca="1" si="5"/>
        <v>3</v>
      </c>
      <c r="K97" s="4" t="s">
        <v>227</v>
      </c>
      <c r="L97" s="4">
        <f t="shared" ca="1" si="6"/>
        <v>80</v>
      </c>
      <c r="M97" s="8">
        <f ca="1">Tabla3[[#This Row],[Columna6]]+1</f>
        <v>81</v>
      </c>
      <c r="N97" s="8" t="s">
        <v>189</v>
      </c>
      <c r="O97" s="4">
        <f t="shared" ca="1" si="7"/>
        <v>4</v>
      </c>
    </row>
    <row r="98" spans="1:15">
      <c r="A98" s="16">
        <v>96</v>
      </c>
      <c r="B98" s="4" t="s">
        <v>96</v>
      </c>
      <c r="C98" s="7" t="s">
        <v>109</v>
      </c>
      <c r="D98" s="4">
        <f t="shared" ca="1" si="4"/>
        <v>31</v>
      </c>
      <c r="E98" s="4" t="s">
        <v>148</v>
      </c>
      <c r="F98" s="4">
        <f ca="1">2022-Tabla1[[#This Row],[Columna3]]</f>
        <v>1991</v>
      </c>
      <c r="G98" s="4" t="s">
        <v>63</v>
      </c>
      <c r="H98" s="4">
        <f t="shared" ca="1" si="5"/>
        <v>4</v>
      </c>
      <c r="I98" s="4">
        <f t="shared" ca="1" si="5"/>
        <v>5</v>
      </c>
      <c r="J98" s="4">
        <f t="shared" ca="1" si="5"/>
        <v>5</v>
      </c>
      <c r="K98" s="4" t="s">
        <v>227</v>
      </c>
      <c r="L98" s="4">
        <f t="shared" ca="1" si="6"/>
        <v>100</v>
      </c>
      <c r="M98" s="8">
        <f ca="1">Tabla3[[#This Row],[Columna6]]+1</f>
        <v>101</v>
      </c>
      <c r="N98" s="8" t="s">
        <v>190</v>
      </c>
      <c r="O98" s="4">
        <f t="shared" ca="1" si="7"/>
        <v>4</v>
      </c>
    </row>
    <row r="99" spans="1:15">
      <c r="A99" s="16">
        <v>97</v>
      </c>
      <c r="B99" s="4" t="s">
        <v>94</v>
      </c>
      <c r="C99" s="7" t="s">
        <v>110</v>
      </c>
      <c r="D99" s="4">
        <f t="shared" ca="1" si="4"/>
        <v>70</v>
      </c>
      <c r="E99" s="4" t="s">
        <v>148</v>
      </c>
      <c r="F99" s="4">
        <f ca="1">2022-Tabla1[[#This Row],[Columna3]]</f>
        <v>1952</v>
      </c>
      <c r="G99" s="4" t="s">
        <v>64</v>
      </c>
      <c r="H99" s="4">
        <f t="shared" ca="1" si="5"/>
        <v>5</v>
      </c>
      <c r="I99" s="4">
        <f t="shared" ca="1" si="5"/>
        <v>4</v>
      </c>
      <c r="J99" s="4">
        <f t="shared" ca="1" si="5"/>
        <v>3</v>
      </c>
      <c r="K99" s="4" t="s">
        <v>227</v>
      </c>
      <c r="L99" s="4">
        <f t="shared" ca="1" si="6"/>
        <v>91</v>
      </c>
      <c r="M99" s="8">
        <f ca="1">Tabla3[[#This Row],[Columna6]]+1</f>
        <v>92</v>
      </c>
      <c r="N99" s="8" t="s">
        <v>188</v>
      </c>
      <c r="O99" s="4">
        <f t="shared" ca="1" si="7"/>
        <v>5</v>
      </c>
    </row>
    <row r="100" spans="1:15">
      <c r="A100" s="16">
        <v>98</v>
      </c>
      <c r="B100" s="4" t="s">
        <v>91</v>
      </c>
      <c r="C100" s="7" t="s">
        <v>103</v>
      </c>
      <c r="D100" s="4">
        <f t="shared" ca="1" si="4"/>
        <v>93</v>
      </c>
      <c r="E100" s="4" t="s">
        <v>148</v>
      </c>
      <c r="F100" s="4">
        <f ca="1">2022-Tabla1[[#This Row],[Columna3]]</f>
        <v>1929</v>
      </c>
      <c r="G100" s="4" t="s">
        <v>65</v>
      </c>
      <c r="H100" s="4">
        <f t="shared" ca="1" si="5"/>
        <v>5</v>
      </c>
      <c r="I100" s="4">
        <f t="shared" ca="1" si="5"/>
        <v>2</v>
      </c>
      <c r="J100" s="4">
        <f t="shared" ca="1" si="5"/>
        <v>3</v>
      </c>
      <c r="K100" s="4" t="s">
        <v>227</v>
      </c>
      <c r="L100" s="4">
        <f t="shared" ca="1" si="6"/>
        <v>56</v>
      </c>
      <c r="M100" s="8">
        <f ca="1">Tabla3[[#This Row],[Columna6]]+1</f>
        <v>57</v>
      </c>
      <c r="N100" s="8" t="s">
        <v>189</v>
      </c>
      <c r="O100" s="4">
        <f t="shared" ca="1" si="7"/>
        <v>3</v>
      </c>
    </row>
    <row r="101" spans="1:15">
      <c r="A101" s="16">
        <v>99</v>
      </c>
      <c r="B101" s="4" t="s">
        <v>16</v>
      </c>
      <c r="C101" s="7" t="s">
        <v>104</v>
      </c>
      <c r="D101" s="4">
        <f t="shared" ca="1" si="4"/>
        <v>8</v>
      </c>
      <c r="E101" s="4" t="s">
        <v>148</v>
      </c>
      <c r="F101" s="4">
        <f ca="1">2022-Tabla1[[#This Row],[Columna3]]</f>
        <v>2014</v>
      </c>
      <c r="G101" s="4" t="s">
        <v>50</v>
      </c>
      <c r="H101" s="4">
        <f t="shared" ca="1" si="5"/>
        <v>1</v>
      </c>
      <c r="I101" s="4">
        <f t="shared" ca="1" si="5"/>
        <v>1</v>
      </c>
      <c r="J101" s="4">
        <f t="shared" ca="1" si="5"/>
        <v>4</v>
      </c>
      <c r="K101" s="4" t="s">
        <v>227</v>
      </c>
      <c r="L101" s="4">
        <f t="shared" ca="1" si="6"/>
        <v>95</v>
      </c>
      <c r="M101" s="8">
        <f ca="1">Tabla3[[#This Row],[Columna6]]+1</f>
        <v>96</v>
      </c>
      <c r="N101" s="8" t="s">
        <v>190</v>
      </c>
      <c r="O101" s="4">
        <f t="shared" ca="1" si="7"/>
        <v>4</v>
      </c>
    </row>
    <row r="102" spans="1:15">
      <c r="A102" s="12">
        <v>100</v>
      </c>
      <c r="B102" s="4" t="s">
        <v>92</v>
      </c>
      <c r="C102" s="7" t="s">
        <v>105</v>
      </c>
      <c r="D102" s="4">
        <f t="shared" ca="1" si="4"/>
        <v>63</v>
      </c>
      <c r="E102" s="4" t="s">
        <v>148</v>
      </c>
      <c r="F102" s="4">
        <f ca="1">2022-Tabla1[[#This Row],[Columna3]]</f>
        <v>1959</v>
      </c>
      <c r="G102" s="4" t="s">
        <v>97</v>
      </c>
      <c r="H102" s="4">
        <f t="shared" ca="1" si="5"/>
        <v>2</v>
      </c>
      <c r="I102" s="4">
        <f t="shared" ca="1" si="5"/>
        <v>3</v>
      </c>
      <c r="J102" s="4">
        <f t="shared" ca="1" si="5"/>
        <v>4</v>
      </c>
      <c r="K102" s="4" t="s">
        <v>227</v>
      </c>
      <c r="L102" s="4">
        <f t="shared" ca="1" si="6"/>
        <v>94</v>
      </c>
      <c r="M102" s="8">
        <f ca="1">Tabla3[[#This Row],[Columna6]]+1</f>
        <v>95</v>
      </c>
      <c r="N102" s="8" t="s">
        <v>185</v>
      </c>
      <c r="O102" s="4">
        <f t="shared" ca="1" si="7"/>
        <v>3</v>
      </c>
    </row>
  </sheetData>
  <mergeCells count="1">
    <mergeCell ref="C1:K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topLeftCell="A2" zoomScaleNormal="100" workbookViewId="0">
      <selection activeCell="H15" sqref="H15"/>
    </sheetView>
  </sheetViews>
  <sheetFormatPr baseColWidth="10" defaultRowHeight="15"/>
  <cols>
    <col min="2" max="2" width="12.42578125" customWidth="1"/>
    <col min="3" max="3" width="15.85546875" customWidth="1"/>
  </cols>
  <sheetData>
    <row r="1" spans="1:6">
      <c r="B1" s="10" t="s">
        <v>217</v>
      </c>
      <c r="C1" s="11"/>
      <c r="D1" s="11"/>
    </row>
    <row r="2" spans="1:6">
      <c r="A2" s="13" t="s">
        <v>235</v>
      </c>
      <c r="B2" s="4" t="s">
        <v>9</v>
      </c>
      <c r="C2" s="4" t="s">
        <v>10</v>
      </c>
      <c r="D2" s="4" t="s">
        <v>210</v>
      </c>
      <c r="E2" s="4" t="s">
        <v>211</v>
      </c>
      <c r="F2" s="4" t="s">
        <v>212</v>
      </c>
    </row>
    <row r="3" spans="1:6">
      <c r="A3" s="16">
        <v>1</v>
      </c>
      <c r="B3" s="4" t="s">
        <v>11</v>
      </c>
      <c r="C3" s="7" t="s">
        <v>102</v>
      </c>
      <c r="D3" s="4" t="s">
        <v>213</v>
      </c>
      <c r="E3" s="6">
        <v>500000</v>
      </c>
      <c r="F3" s="4">
        <f t="shared" ref="F3:F24" ca="1" si="0">RANDBETWEEN(12348549,99293994)</f>
        <v>43932477</v>
      </c>
    </row>
    <row r="4" spans="1:6">
      <c r="A4" s="16">
        <v>2</v>
      </c>
      <c r="B4" s="4" t="s">
        <v>12</v>
      </c>
      <c r="C4" s="7" t="s">
        <v>103</v>
      </c>
      <c r="D4" s="4" t="s">
        <v>213</v>
      </c>
      <c r="E4" s="6">
        <v>500000</v>
      </c>
      <c r="F4" s="4">
        <f t="shared" ca="1" si="0"/>
        <v>33636741</v>
      </c>
    </row>
    <row r="5" spans="1:6">
      <c r="A5" s="16">
        <v>3</v>
      </c>
      <c r="B5" s="4" t="s">
        <v>13</v>
      </c>
      <c r="C5" s="7" t="s">
        <v>104</v>
      </c>
      <c r="D5" s="4" t="s">
        <v>213</v>
      </c>
      <c r="E5" s="6">
        <v>500000</v>
      </c>
      <c r="F5" s="4">
        <f t="shared" ca="1" si="0"/>
        <v>63350715</v>
      </c>
    </row>
    <row r="6" spans="1:6">
      <c r="A6" s="16">
        <v>4</v>
      </c>
      <c r="B6" s="4" t="s">
        <v>14</v>
      </c>
      <c r="C6" s="7" t="s">
        <v>105</v>
      </c>
      <c r="D6" s="4" t="s">
        <v>213</v>
      </c>
      <c r="E6" s="6">
        <v>500000</v>
      </c>
      <c r="F6" s="4">
        <f t="shared" ca="1" si="0"/>
        <v>50451802</v>
      </c>
    </row>
    <row r="7" spans="1:6">
      <c r="A7" s="16">
        <v>5</v>
      </c>
      <c r="B7" s="4" t="s">
        <v>15</v>
      </c>
      <c r="C7" s="7" t="s">
        <v>106</v>
      </c>
      <c r="D7" s="4" t="s">
        <v>213</v>
      </c>
      <c r="E7" s="6">
        <v>500000</v>
      </c>
      <c r="F7" s="4">
        <f t="shared" ca="1" si="0"/>
        <v>17126166</v>
      </c>
    </row>
    <row r="8" spans="1:6">
      <c r="A8" s="16">
        <v>6</v>
      </c>
      <c r="B8" s="4" t="s">
        <v>16</v>
      </c>
      <c r="C8" s="7" t="s">
        <v>107</v>
      </c>
      <c r="D8" s="4" t="s">
        <v>213</v>
      </c>
      <c r="E8" s="6">
        <v>500000</v>
      </c>
      <c r="F8" s="4">
        <f t="shared" ca="1" si="0"/>
        <v>18265890</v>
      </c>
    </row>
    <row r="9" spans="1:6">
      <c r="A9" s="16">
        <v>7</v>
      </c>
      <c r="B9" s="4" t="s">
        <v>17</v>
      </c>
      <c r="C9" s="7" t="s">
        <v>108</v>
      </c>
      <c r="D9" s="4" t="s">
        <v>213</v>
      </c>
      <c r="E9" s="6">
        <v>500000</v>
      </c>
      <c r="F9" s="4">
        <f t="shared" ca="1" si="0"/>
        <v>49783809</v>
      </c>
    </row>
    <row r="10" spans="1:6">
      <c r="A10" s="16">
        <v>8</v>
      </c>
      <c r="B10" s="4" t="s">
        <v>94</v>
      </c>
      <c r="C10" s="7" t="s">
        <v>109</v>
      </c>
      <c r="D10" s="4" t="s">
        <v>213</v>
      </c>
      <c r="E10" s="6">
        <v>500000</v>
      </c>
      <c r="F10" s="4">
        <f t="shared" ca="1" si="0"/>
        <v>22531884</v>
      </c>
    </row>
    <row r="11" spans="1:6">
      <c r="A11" s="16">
        <v>9</v>
      </c>
      <c r="B11" s="4" t="s">
        <v>18</v>
      </c>
      <c r="C11" s="7" t="s">
        <v>110</v>
      </c>
      <c r="D11" s="4" t="s">
        <v>213</v>
      </c>
      <c r="E11" s="6">
        <v>500000</v>
      </c>
      <c r="F11" s="4">
        <f t="shared" ca="1" si="0"/>
        <v>59573280</v>
      </c>
    </row>
    <row r="12" spans="1:6">
      <c r="A12" s="16">
        <v>10</v>
      </c>
      <c r="B12" s="4" t="s">
        <v>97</v>
      </c>
      <c r="C12" s="7" t="s">
        <v>111</v>
      </c>
      <c r="D12" s="4" t="s">
        <v>213</v>
      </c>
      <c r="E12" s="6">
        <v>500000</v>
      </c>
      <c r="F12" s="4">
        <f t="shared" ca="1" si="0"/>
        <v>22541753</v>
      </c>
    </row>
    <row r="13" spans="1:6">
      <c r="A13" s="16">
        <v>11</v>
      </c>
      <c r="B13" s="4" t="s">
        <v>19</v>
      </c>
      <c r="C13" s="7" t="s">
        <v>112</v>
      </c>
      <c r="D13" s="4" t="s">
        <v>214</v>
      </c>
      <c r="E13" s="6">
        <v>500000</v>
      </c>
      <c r="F13" s="4">
        <f t="shared" ca="1" si="0"/>
        <v>89786207</v>
      </c>
    </row>
    <row r="14" spans="1:6">
      <c r="A14" s="16">
        <v>12</v>
      </c>
      <c r="B14" s="4" t="s">
        <v>20</v>
      </c>
      <c r="C14" s="7" t="s">
        <v>113</v>
      </c>
      <c r="D14" s="4" t="s">
        <v>214</v>
      </c>
      <c r="E14" s="4">
        <v>2000000</v>
      </c>
      <c r="F14" s="4">
        <f t="shared" ca="1" si="0"/>
        <v>60647681</v>
      </c>
    </row>
    <row r="15" spans="1:6">
      <c r="A15" s="16">
        <v>13</v>
      </c>
      <c r="B15" s="4" t="s">
        <v>21</v>
      </c>
      <c r="C15" s="7" t="s">
        <v>114</v>
      </c>
      <c r="D15" s="4" t="s">
        <v>214</v>
      </c>
      <c r="E15" s="4">
        <v>2000000</v>
      </c>
      <c r="F15" s="4">
        <f t="shared" ca="1" si="0"/>
        <v>46970755</v>
      </c>
    </row>
    <row r="16" spans="1:6">
      <c r="A16" s="16">
        <v>14</v>
      </c>
      <c r="B16" s="4" t="s">
        <v>22</v>
      </c>
      <c r="C16" s="7" t="s">
        <v>115</v>
      </c>
      <c r="D16" s="4" t="s">
        <v>214</v>
      </c>
      <c r="E16" s="4">
        <v>2000000</v>
      </c>
      <c r="F16" s="4">
        <f t="shared" ca="1" si="0"/>
        <v>86682032</v>
      </c>
    </row>
    <row r="17" spans="1:6">
      <c r="A17" s="16">
        <v>15</v>
      </c>
      <c r="B17" s="4" t="s">
        <v>23</v>
      </c>
      <c r="C17" s="7" t="s">
        <v>116</v>
      </c>
      <c r="D17" s="4" t="s">
        <v>214</v>
      </c>
      <c r="E17" s="4">
        <v>2000000</v>
      </c>
      <c r="F17" s="4">
        <f t="shared" ca="1" si="0"/>
        <v>20042099</v>
      </c>
    </row>
    <row r="18" spans="1:6">
      <c r="A18" s="16">
        <v>16</v>
      </c>
      <c r="B18" s="4" t="s">
        <v>94</v>
      </c>
      <c r="C18" s="7" t="s">
        <v>117</v>
      </c>
      <c r="D18" s="4" t="s">
        <v>214</v>
      </c>
      <c r="E18" s="4">
        <v>2000000</v>
      </c>
      <c r="F18" s="4">
        <f t="shared" ca="1" si="0"/>
        <v>53149952</v>
      </c>
    </row>
    <row r="19" spans="1:6">
      <c r="A19" s="16">
        <v>17</v>
      </c>
      <c r="B19" s="4" t="s">
        <v>24</v>
      </c>
      <c r="C19" s="7" t="s">
        <v>118</v>
      </c>
      <c r="D19" s="4" t="s">
        <v>214</v>
      </c>
      <c r="E19" s="4">
        <v>2000000</v>
      </c>
      <c r="F19" s="4">
        <f t="shared" ca="1" si="0"/>
        <v>31720363</v>
      </c>
    </row>
    <row r="20" spans="1:6">
      <c r="A20" s="16">
        <v>18</v>
      </c>
      <c r="B20" s="4" t="s">
        <v>98</v>
      </c>
      <c r="C20" s="7" t="s">
        <v>119</v>
      </c>
      <c r="D20" s="4" t="s">
        <v>214</v>
      </c>
      <c r="E20" s="4">
        <v>2000000</v>
      </c>
      <c r="F20" s="4">
        <f t="shared" ca="1" si="0"/>
        <v>19594904</v>
      </c>
    </row>
    <row r="21" spans="1:6">
      <c r="A21" s="16">
        <v>19</v>
      </c>
      <c r="B21" s="4" t="s">
        <v>25</v>
      </c>
      <c r="C21" s="7" t="s">
        <v>64</v>
      </c>
      <c r="D21" s="4" t="s">
        <v>214</v>
      </c>
      <c r="E21" s="4">
        <v>2000000</v>
      </c>
      <c r="F21" s="4">
        <f t="shared" ca="1" si="0"/>
        <v>24248848</v>
      </c>
    </row>
    <row r="22" spans="1:6">
      <c r="A22" s="16">
        <v>20</v>
      </c>
      <c r="B22" s="4" t="s">
        <v>26</v>
      </c>
      <c r="C22" s="7" t="s">
        <v>120</v>
      </c>
      <c r="D22" s="4" t="s">
        <v>214</v>
      </c>
      <c r="E22" s="4">
        <v>2000000</v>
      </c>
      <c r="F22" s="4">
        <f t="shared" ca="1" si="0"/>
        <v>34148489</v>
      </c>
    </row>
    <row r="23" spans="1:6">
      <c r="A23" s="16">
        <v>21</v>
      </c>
      <c r="B23" s="4" t="s">
        <v>27</v>
      </c>
      <c r="C23" s="7" t="s">
        <v>121</v>
      </c>
      <c r="D23" s="4" t="s">
        <v>215</v>
      </c>
      <c r="E23" s="4">
        <v>2000000</v>
      </c>
      <c r="F23" s="4">
        <f t="shared" ca="1" si="0"/>
        <v>28359218</v>
      </c>
    </row>
    <row r="24" spans="1:6">
      <c r="A24" s="12">
        <v>22</v>
      </c>
      <c r="B24" s="4" t="s">
        <v>28</v>
      </c>
      <c r="C24" s="7" t="s">
        <v>122</v>
      </c>
      <c r="D24" s="4" t="s">
        <v>215</v>
      </c>
      <c r="E24" s="4">
        <v>2000000</v>
      </c>
      <c r="F24" s="4">
        <f t="shared" ca="1" si="0"/>
        <v>64041433</v>
      </c>
    </row>
  </sheetData>
  <mergeCells count="1">
    <mergeCell ref="B1:D1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abSelected="1" topLeftCell="A2" workbookViewId="0">
      <selection activeCell="C9" sqref="C9"/>
    </sheetView>
  </sheetViews>
  <sheetFormatPr baseColWidth="10" defaultRowHeight="15"/>
  <cols>
    <col min="2" max="2" width="13.7109375" customWidth="1"/>
    <col min="3" max="3" width="24.28515625" customWidth="1"/>
  </cols>
  <sheetData>
    <row r="1" spans="1:10">
      <c r="C1" s="10" t="s">
        <v>233</v>
      </c>
      <c r="D1" s="11"/>
      <c r="E1" s="11"/>
      <c r="F1" s="11"/>
      <c r="G1" s="11"/>
    </row>
    <row r="2" spans="1:10">
      <c r="A2" s="13" t="s">
        <v>235</v>
      </c>
      <c r="B2" s="1" t="s">
        <v>9</v>
      </c>
      <c r="C2" s="2" t="s">
        <v>10</v>
      </c>
      <c r="D2" s="2" t="s">
        <v>216</v>
      </c>
      <c r="E2" s="2" t="s">
        <v>211</v>
      </c>
      <c r="F2" s="2" t="s">
        <v>212</v>
      </c>
      <c r="G2" s="3" t="s">
        <v>227</v>
      </c>
      <c r="H2" s="2" t="s">
        <v>225</v>
      </c>
      <c r="I2" s="2" t="s">
        <v>226</v>
      </c>
      <c r="J2" s="2" t="s">
        <v>231</v>
      </c>
    </row>
    <row r="3" spans="1:10">
      <c r="A3" s="16">
        <v>1</v>
      </c>
      <c r="B3" s="15" t="s">
        <v>15</v>
      </c>
      <c r="C3" s="7" t="s">
        <v>103</v>
      </c>
      <c r="D3" s="4" t="s">
        <v>222</v>
      </c>
      <c r="E3" s="4">
        <v>2500000</v>
      </c>
      <c r="F3" s="4">
        <f t="shared" ref="F3:F23" ca="1" si="0">RANDBETWEEN(10204432,91923322)</f>
        <v>53646066</v>
      </c>
      <c r="G3" s="4" t="s">
        <v>227</v>
      </c>
      <c r="H3" s="2"/>
      <c r="I3" s="2">
        <f t="shared" ref="I3:I23" ca="1" si="1">RANDBETWEEN(1,100)</f>
        <v>40</v>
      </c>
      <c r="J3" s="2">
        <f ca="1">Tabla4[[#This Row],[numero]]+1</f>
        <v>41</v>
      </c>
    </row>
    <row r="4" spans="1:10">
      <c r="A4" s="16">
        <v>2</v>
      </c>
      <c r="B4" s="15" t="s">
        <v>16</v>
      </c>
      <c r="C4" s="7" t="s">
        <v>104</v>
      </c>
      <c r="D4" s="4" t="s">
        <v>223</v>
      </c>
      <c r="E4" s="4">
        <v>2500000</v>
      </c>
      <c r="F4" s="4">
        <f t="shared" ca="1" si="0"/>
        <v>69086616</v>
      </c>
      <c r="G4" s="4" t="s">
        <v>227</v>
      </c>
      <c r="H4" s="4"/>
      <c r="I4" s="4">
        <f t="shared" ca="1" si="1"/>
        <v>80</v>
      </c>
      <c r="J4" s="4">
        <f ca="1">Tabla4[[#This Row],[numero]]+1</f>
        <v>81</v>
      </c>
    </row>
    <row r="5" spans="1:10">
      <c r="A5" s="16">
        <v>3</v>
      </c>
      <c r="B5" s="15" t="s">
        <v>17</v>
      </c>
      <c r="C5" s="7" t="s">
        <v>105</v>
      </c>
      <c r="D5" s="4" t="s">
        <v>218</v>
      </c>
      <c r="E5" s="4">
        <v>4500000</v>
      </c>
      <c r="F5" s="4">
        <f t="shared" ca="1" si="0"/>
        <v>89548179</v>
      </c>
      <c r="G5" s="4" t="s">
        <v>227</v>
      </c>
      <c r="H5" s="4"/>
      <c r="I5" s="4">
        <f t="shared" ca="1" si="1"/>
        <v>49</v>
      </c>
      <c r="J5" s="4">
        <f ca="1">Tabla4[[#This Row],[numero]]+1</f>
        <v>50</v>
      </c>
    </row>
    <row r="6" spans="1:10">
      <c r="A6" s="16">
        <v>4</v>
      </c>
      <c r="B6" s="15" t="s">
        <v>94</v>
      </c>
      <c r="C6" s="7" t="s">
        <v>106</v>
      </c>
      <c r="D6" s="4" t="s">
        <v>219</v>
      </c>
      <c r="E6" s="4">
        <v>1200000</v>
      </c>
      <c r="F6" s="4">
        <f t="shared" ca="1" si="0"/>
        <v>41571282</v>
      </c>
      <c r="G6" s="4" t="s">
        <v>227</v>
      </c>
      <c r="H6" s="4"/>
      <c r="I6" s="4">
        <f t="shared" ca="1" si="1"/>
        <v>4</v>
      </c>
      <c r="J6" s="4">
        <f ca="1">Tabla4[[#This Row],[numero]]+1</f>
        <v>5</v>
      </c>
    </row>
    <row r="7" spans="1:10">
      <c r="A7" s="16">
        <v>5</v>
      </c>
      <c r="B7" s="15" t="s">
        <v>18</v>
      </c>
      <c r="C7" s="7" t="s">
        <v>107</v>
      </c>
      <c r="D7" s="4" t="s">
        <v>217</v>
      </c>
      <c r="E7" s="4">
        <v>900000</v>
      </c>
      <c r="F7" s="4">
        <f t="shared" ca="1" si="0"/>
        <v>42443230</v>
      </c>
      <c r="G7" s="4" t="s">
        <v>227</v>
      </c>
      <c r="H7" s="4"/>
      <c r="I7" s="4">
        <f t="shared" ca="1" si="1"/>
        <v>67</v>
      </c>
      <c r="J7" s="4">
        <f ca="1">Tabla4[[#This Row],[numero]]+1</f>
        <v>68</v>
      </c>
    </row>
    <row r="8" spans="1:10">
      <c r="A8" s="16">
        <v>6</v>
      </c>
      <c r="B8" s="15" t="s">
        <v>97</v>
      </c>
      <c r="C8" s="7" t="s">
        <v>108</v>
      </c>
      <c r="D8" s="4" t="s">
        <v>217</v>
      </c>
      <c r="E8" s="4">
        <v>900000</v>
      </c>
      <c r="F8" s="4">
        <f t="shared" ca="1" si="0"/>
        <v>24122488</v>
      </c>
      <c r="G8" s="4" t="s">
        <v>227</v>
      </c>
      <c r="H8" s="4"/>
      <c r="I8" s="4">
        <f t="shared" ca="1" si="1"/>
        <v>64</v>
      </c>
      <c r="J8" s="4">
        <f ca="1">Tabla4[[#This Row],[numero]]+1</f>
        <v>65</v>
      </c>
    </row>
    <row r="9" spans="1:10">
      <c r="A9" s="16">
        <v>7</v>
      </c>
      <c r="B9" s="15" t="s">
        <v>19</v>
      </c>
      <c r="C9" s="7" t="s">
        <v>109</v>
      </c>
      <c r="D9" s="4" t="s">
        <v>217</v>
      </c>
      <c r="E9" s="4">
        <v>900000</v>
      </c>
      <c r="F9" s="4">
        <f t="shared" ca="1" si="0"/>
        <v>20858574</v>
      </c>
      <c r="G9" s="4" t="s">
        <v>227</v>
      </c>
      <c r="H9" s="4"/>
      <c r="I9" s="4">
        <f t="shared" ca="1" si="1"/>
        <v>76</v>
      </c>
      <c r="J9" s="4">
        <f ca="1">Tabla4[[#This Row],[numero]]+1</f>
        <v>77</v>
      </c>
    </row>
    <row r="10" spans="1:10">
      <c r="A10" s="16">
        <v>8</v>
      </c>
      <c r="B10" s="15" t="s">
        <v>20</v>
      </c>
      <c r="C10" s="7" t="s">
        <v>110</v>
      </c>
      <c r="D10" s="4" t="s">
        <v>217</v>
      </c>
      <c r="E10" s="4">
        <v>900000</v>
      </c>
      <c r="F10" s="4">
        <f t="shared" ca="1" si="0"/>
        <v>17882980</v>
      </c>
      <c r="G10" s="4" t="s">
        <v>227</v>
      </c>
      <c r="H10" s="4"/>
      <c r="I10" s="4">
        <f t="shared" ca="1" si="1"/>
        <v>97</v>
      </c>
      <c r="J10" s="4">
        <f ca="1">Tabla4[[#This Row],[numero]]+1</f>
        <v>98</v>
      </c>
    </row>
    <row r="11" spans="1:10">
      <c r="A11" s="16">
        <v>9</v>
      </c>
      <c r="B11" s="15" t="s">
        <v>21</v>
      </c>
      <c r="C11" s="7" t="s">
        <v>111</v>
      </c>
      <c r="D11" s="4" t="s">
        <v>217</v>
      </c>
      <c r="E11" s="4">
        <v>900000</v>
      </c>
      <c r="F11" s="4">
        <f t="shared" ca="1" si="0"/>
        <v>56605123</v>
      </c>
      <c r="G11" s="4" t="s">
        <v>227</v>
      </c>
      <c r="H11" s="4"/>
      <c r="I11" s="4">
        <f t="shared" ca="1" si="1"/>
        <v>87</v>
      </c>
      <c r="J11" s="4">
        <f ca="1">Tabla4[[#This Row],[numero]]+1</f>
        <v>88</v>
      </c>
    </row>
    <row r="12" spans="1:10">
      <c r="A12" s="16">
        <v>10</v>
      </c>
      <c r="B12" s="15" t="s">
        <v>22</v>
      </c>
      <c r="C12" s="7" t="s">
        <v>112</v>
      </c>
      <c r="D12" s="4" t="s">
        <v>217</v>
      </c>
      <c r="E12" s="4">
        <v>900000</v>
      </c>
      <c r="F12" s="4">
        <f t="shared" ca="1" si="0"/>
        <v>20688070</v>
      </c>
      <c r="G12" s="4" t="s">
        <v>227</v>
      </c>
      <c r="H12" s="4"/>
      <c r="I12" s="4">
        <f t="shared" ca="1" si="1"/>
        <v>75</v>
      </c>
      <c r="J12" s="4">
        <f ca="1">Tabla4[[#This Row],[numero]]+1</f>
        <v>76</v>
      </c>
    </row>
    <row r="13" spans="1:10">
      <c r="A13" s="16">
        <v>11</v>
      </c>
      <c r="B13" s="15" t="s">
        <v>23</v>
      </c>
      <c r="C13" s="7" t="s">
        <v>113</v>
      </c>
      <c r="D13" s="4" t="s">
        <v>217</v>
      </c>
      <c r="E13" s="4">
        <v>900000</v>
      </c>
      <c r="F13" s="4">
        <f t="shared" ca="1" si="0"/>
        <v>24048243</v>
      </c>
      <c r="G13" s="4"/>
      <c r="H13" s="4" t="s">
        <v>232</v>
      </c>
      <c r="I13" s="4">
        <f t="shared" ca="1" si="1"/>
        <v>98</v>
      </c>
      <c r="J13" s="4">
        <f ca="1">Tabla4[[#This Row],[numero]]+1</f>
        <v>99</v>
      </c>
    </row>
    <row r="14" spans="1:10">
      <c r="A14" s="16">
        <v>12</v>
      </c>
      <c r="B14" s="15" t="s">
        <v>94</v>
      </c>
      <c r="C14" s="7" t="s">
        <v>114</v>
      </c>
      <c r="D14" s="4" t="s">
        <v>217</v>
      </c>
      <c r="E14" s="4">
        <v>900000</v>
      </c>
      <c r="F14" s="4">
        <f t="shared" ca="1" si="0"/>
        <v>54509456</v>
      </c>
      <c r="G14" s="4"/>
      <c r="H14" s="4" t="s">
        <v>232</v>
      </c>
      <c r="I14" s="4">
        <f t="shared" ca="1" si="1"/>
        <v>52</v>
      </c>
      <c r="J14" s="4">
        <f ca="1">Tabla4[[#This Row],[numero]]+1</f>
        <v>53</v>
      </c>
    </row>
    <row r="15" spans="1:10">
      <c r="A15" s="16">
        <v>13</v>
      </c>
      <c r="B15" s="15" t="s">
        <v>24</v>
      </c>
      <c r="C15" s="7" t="s">
        <v>115</v>
      </c>
      <c r="D15" s="4" t="s">
        <v>217</v>
      </c>
      <c r="E15" s="4">
        <v>900000</v>
      </c>
      <c r="F15" s="4">
        <f t="shared" ca="1" si="0"/>
        <v>43511017</v>
      </c>
      <c r="G15" s="4"/>
      <c r="H15" s="4" t="s">
        <v>232</v>
      </c>
      <c r="I15" s="4">
        <f t="shared" ca="1" si="1"/>
        <v>34</v>
      </c>
      <c r="J15" s="4">
        <f ca="1">Tabla4[[#This Row],[numero]]+1</f>
        <v>35</v>
      </c>
    </row>
    <row r="16" spans="1:10">
      <c r="A16" s="16">
        <v>14</v>
      </c>
      <c r="B16" s="15" t="s">
        <v>98</v>
      </c>
      <c r="C16" s="7" t="s">
        <v>116</v>
      </c>
      <c r="D16" s="4" t="s">
        <v>220</v>
      </c>
      <c r="E16" s="4">
        <v>1300000</v>
      </c>
      <c r="F16" s="4">
        <f t="shared" ca="1" si="0"/>
        <v>27739592</v>
      </c>
      <c r="G16" s="4"/>
      <c r="H16" s="4" t="s">
        <v>232</v>
      </c>
      <c r="I16" s="4">
        <f t="shared" ca="1" si="1"/>
        <v>47</v>
      </c>
      <c r="J16" s="4">
        <f ca="1">Tabla4[[#This Row],[numero]]+1</f>
        <v>48</v>
      </c>
    </row>
    <row r="17" spans="1:10">
      <c r="A17" s="16">
        <v>15</v>
      </c>
      <c r="B17" s="15" t="s">
        <v>25</v>
      </c>
      <c r="C17" s="7" t="s">
        <v>117</v>
      </c>
      <c r="D17" s="4" t="s">
        <v>220</v>
      </c>
      <c r="E17" s="4">
        <v>1300000</v>
      </c>
      <c r="F17" s="4">
        <f t="shared" ca="1" si="0"/>
        <v>44899450</v>
      </c>
      <c r="G17" s="4"/>
      <c r="H17" s="4" t="s">
        <v>232</v>
      </c>
      <c r="I17" s="4">
        <f t="shared" ca="1" si="1"/>
        <v>12</v>
      </c>
      <c r="J17" s="4">
        <f ca="1">Tabla4[[#This Row],[numero]]+1</f>
        <v>13</v>
      </c>
    </row>
    <row r="18" spans="1:10">
      <c r="A18" s="16">
        <v>16</v>
      </c>
      <c r="B18" s="15" t="s">
        <v>26</v>
      </c>
      <c r="C18" s="7" t="s">
        <v>118</v>
      </c>
      <c r="D18" s="4" t="s">
        <v>220</v>
      </c>
      <c r="E18" s="4">
        <v>1300000</v>
      </c>
      <c r="F18" s="4">
        <f t="shared" ca="1" si="0"/>
        <v>91085567</v>
      </c>
      <c r="G18" s="4"/>
      <c r="H18" s="4" t="s">
        <v>232</v>
      </c>
      <c r="I18" s="4">
        <f t="shared" ca="1" si="1"/>
        <v>25</v>
      </c>
      <c r="J18" s="4">
        <f ca="1">Tabla4[[#This Row],[numero]]+1</f>
        <v>26</v>
      </c>
    </row>
    <row r="19" spans="1:10">
      <c r="A19" s="16">
        <v>17</v>
      </c>
      <c r="B19" s="15" t="s">
        <v>27</v>
      </c>
      <c r="C19" s="7" t="s">
        <v>119</v>
      </c>
      <c r="D19" s="4" t="s">
        <v>219</v>
      </c>
      <c r="E19" s="4">
        <v>1200000</v>
      </c>
      <c r="F19" s="4">
        <f t="shared" ca="1" si="0"/>
        <v>31508314</v>
      </c>
      <c r="G19" s="4"/>
      <c r="H19" s="4" t="s">
        <v>232</v>
      </c>
      <c r="I19" s="4">
        <f t="shared" ca="1" si="1"/>
        <v>8</v>
      </c>
      <c r="J19" s="4">
        <f ca="1">Tabla4[[#This Row],[numero]]+1</f>
        <v>9</v>
      </c>
    </row>
    <row r="20" spans="1:10">
      <c r="A20" s="16">
        <v>18</v>
      </c>
      <c r="B20" s="15" t="s">
        <v>28</v>
      </c>
      <c r="C20" s="7" t="s">
        <v>64</v>
      </c>
      <c r="D20" s="4" t="s">
        <v>221</v>
      </c>
      <c r="E20" s="4">
        <v>900000</v>
      </c>
      <c r="F20" s="4">
        <f t="shared" ca="1" si="0"/>
        <v>49686253</v>
      </c>
      <c r="G20" s="4"/>
      <c r="H20" s="4" t="s">
        <v>232</v>
      </c>
      <c r="I20" s="4">
        <f t="shared" ca="1" si="1"/>
        <v>23</v>
      </c>
      <c r="J20" s="4">
        <f ca="1">Tabla4[[#This Row],[numero]]+1</f>
        <v>24</v>
      </c>
    </row>
    <row r="21" spans="1:10">
      <c r="A21" s="16">
        <v>19</v>
      </c>
      <c r="B21" s="15" t="s">
        <v>94</v>
      </c>
      <c r="C21" s="7" t="s">
        <v>113</v>
      </c>
      <c r="D21" s="4" t="s">
        <v>221</v>
      </c>
      <c r="E21" s="4">
        <v>900000</v>
      </c>
      <c r="F21" s="4">
        <f t="shared" ca="1" si="0"/>
        <v>38918803</v>
      </c>
      <c r="G21" s="4"/>
      <c r="H21" s="4" t="s">
        <v>232</v>
      </c>
      <c r="I21" s="4">
        <f t="shared" ca="1" si="1"/>
        <v>57</v>
      </c>
      <c r="J21" s="4">
        <f ca="1">Tabla4[[#This Row],[numero]]+1</f>
        <v>58</v>
      </c>
    </row>
    <row r="22" spans="1:10">
      <c r="A22" s="16">
        <v>20</v>
      </c>
      <c r="B22" s="15" t="s">
        <v>29</v>
      </c>
      <c r="C22" s="7" t="s">
        <v>114</v>
      </c>
      <c r="D22" s="4" t="s">
        <v>221</v>
      </c>
      <c r="E22" s="4">
        <v>900000</v>
      </c>
      <c r="F22" s="4">
        <f t="shared" ca="1" si="0"/>
        <v>84715521</v>
      </c>
      <c r="G22" s="4"/>
      <c r="H22" s="4" t="s">
        <v>232</v>
      </c>
      <c r="I22" s="4">
        <f t="shared" ca="1" si="1"/>
        <v>73</v>
      </c>
      <c r="J22" s="4">
        <f ca="1">Tabla4[[#This Row],[numero]]+1</f>
        <v>74</v>
      </c>
    </row>
    <row r="23" spans="1:10">
      <c r="A23" s="12">
        <v>21</v>
      </c>
      <c r="B23" s="15" t="s">
        <v>30</v>
      </c>
      <c r="C23" s="7" t="s">
        <v>115</v>
      </c>
      <c r="D23" s="4" t="s">
        <v>221</v>
      </c>
      <c r="E23" s="4">
        <v>900000</v>
      </c>
      <c r="F23" s="4">
        <f t="shared" ca="1" si="0"/>
        <v>81716341</v>
      </c>
      <c r="G23" s="4"/>
      <c r="H23" s="4" t="s">
        <v>232</v>
      </c>
      <c r="I23" s="5">
        <f t="shared" ca="1" si="1"/>
        <v>2</v>
      </c>
      <c r="J23" s="5">
        <f ca="1">Tabla4[[#This Row],[numero]]+1</f>
        <v>3</v>
      </c>
    </row>
  </sheetData>
  <mergeCells count="1">
    <mergeCell ref="C1:G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estudiantes</vt:lpstr>
      <vt:lpstr>profesores</vt:lpstr>
      <vt:lpstr>administrativos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</dc:creator>
  <cp:lastModifiedBy>Alumno</cp:lastModifiedBy>
  <dcterms:created xsi:type="dcterms:W3CDTF">2022-05-24T19:58:44Z</dcterms:created>
  <dcterms:modified xsi:type="dcterms:W3CDTF">2022-05-25T22:22:45Z</dcterms:modified>
</cp:coreProperties>
</file>